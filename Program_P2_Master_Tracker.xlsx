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Gap Register" sheetId="4" state="visible" r:id="rId4"/>
    <sheet xmlns:r="http://schemas.openxmlformats.org/officeDocument/2006/relationships" name="Meetings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racker" displayName="Tracker" ref="A1:L45" headerRowCount="1">
  <autoFilter ref="A1:L45"/>
  <tableColumns count="12">
    <tableColumn id="1" name="ID"/>
    <tableColumn id="2" name="المؤشر"/>
    <tableColumn id="3" name="المهمة"/>
    <tableColumn id="4" name="المسؤول"/>
    <tableColumn id="5" name="المراجع"/>
    <tableColumn id="6" name="جهة الاعتماد"/>
    <tableColumn id="7" name="الحالة"/>
    <tableColumn id="8" name="الإنجاز %"/>
    <tableColumn id="9" name="الأولوية"/>
    <tableColumn id="10" name="الموعد"/>
    <tableColumn id="11" name="الدليل"/>
    <tableColumn id="12" name="الفجوة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8" customWidth="1" min="4" max="4"/>
    <col width="28" customWidth="1" min="5" max="5"/>
    <col width="25" customWidth="1" min="6" max="6"/>
    <col width="18" customWidth="1" min="7" max="7"/>
    <col width="12" customWidth="1" min="8" max="8"/>
    <col width="12" customWidth="1" min="9" max="9"/>
    <col width="14" customWidth="1" min="10" max="10"/>
    <col width="40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المؤشر</t>
        </is>
      </c>
      <c r="C1" s="1" t="inlineStr">
        <is>
          <t>المهمة</t>
        </is>
      </c>
      <c r="D1" s="1" t="inlineStr">
        <is>
          <t>المسؤول</t>
        </is>
      </c>
      <c r="E1" s="1" t="inlineStr">
        <is>
          <t>المراجع</t>
        </is>
      </c>
      <c r="F1" s="1" t="inlineStr">
        <is>
          <t>جهة الاعتماد</t>
        </is>
      </c>
      <c r="G1" s="1" t="inlineStr">
        <is>
          <t>الحالة</t>
        </is>
      </c>
      <c r="H1" s="1" t="inlineStr">
        <is>
          <t>الإنجاز %</t>
        </is>
      </c>
      <c r="I1" s="1" t="inlineStr">
        <is>
          <t>الأولوية</t>
        </is>
      </c>
      <c r="J1" s="1" t="inlineStr">
        <is>
          <t>الموعد</t>
        </is>
      </c>
      <c r="K1" s="1" t="inlineStr">
        <is>
          <t>الدليل</t>
        </is>
      </c>
      <c r="L1" s="1" t="inlineStr">
        <is>
          <t>الفجوة</t>
        </is>
      </c>
    </row>
    <row r="2">
      <c r="A2" s="2" t="inlineStr">
        <is>
          <t>P2.1-T01</t>
        </is>
      </c>
      <c r="B2" s="2" t="inlineStr">
        <is>
          <t>P2.1</t>
        </is>
      </c>
      <c r="C2" s="2" t="inlineStr">
        <is>
          <t>تحديد NARS/ARS ومصدرها</t>
        </is>
      </c>
      <c r="D2" s="2" t="inlineStr">
        <is>
          <t>عضو فريق P2 رقم 1</t>
        </is>
      </c>
      <c r="E2" s="2" t="inlineStr">
        <is>
          <t>منسق المعيار ووحدة ضمان الجودة</t>
        </is>
      </c>
      <c r="F2" s="2" t="inlineStr">
        <is>
          <t>المجلس الحاكم المختص</t>
        </is>
      </c>
      <c r="G2" s="2" t="inlineStr">
        <is>
          <t>لم تبدأ</t>
        </is>
      </c>
      <c r="H2" s="2" t="n">
        <v>0</v>
      </c>
      <c r="I2" s="2" t="inlineStr">
        <is>
          <t>مرتفعة</t>
        </is>
      </c>
      <c r="J2" s="2" t="inlineStr">
        <is>
          <t>غير محدد</t>
        </is>
      </c>
      <c r="K2" s="2" t="inlineStr">
        <is>
          <t>وثيقة تنفيذ، محضر مراجعة، قرار اعتماد، رابط النسخة النهائية</t>
        </is>
      </c>
      <c r="L2" s="2" t="inlineStr">
        <is>
          <t>استكمال التنفيذ والأدلة والمراجعة والاعتماد والفهرسة.</t>
        </is>
      </c>
    </row>
    <row r="3">
      <c r="A3" s="2" t="inlineStr">
        <is>
          <t>P2.1-T02</t>
        </is>
      </c>
      <c r="B3" s="2" t="inlineStr">
        <is>
          <t>P2.1</t>
        </is>
      </c>
      <c r="C3" s="2" t="inlineStr">
        <is>
          <t>تحليل الملاءمة</t>
        </is>
      </c>
      <c r="D3" s="2" t="inlineStr">
        <is>
          <t>عضو فريق P2 رقم 2</t>
        </is>
      </c>
      <c r="E3" s="2" t="inlineStr">
        <is>
          <t>منسق المعيار ووحدة ضمان الجودة</t>
        </is>
      </c>
      <c r="F3" s="2" t="inlineStr">
        <is>
          <t>المجلس الحاكم المختص</t>
        </is>
      </c>
      <c r="G3" s="2" t="inlineStr">
        <is>
          <t>لم تبدأ</t>
        </is>
      </c>
      <c r="H3" s="2" t="n">
        <v>0</v>
      </c>
      <c r="I3" s="2" t="inlineStr">
        <is>
          <t>مرتفعة</t>
        </is>
      </c>
      <c r="J3" s="2" t="inlineStr">
        <is>
          <t>غير محدد</t>
        </is>
      </c>
      <c r="K3" s="2" t="inlineStr">
        <is>
          <t>وثيقة تنفيذ، محضر مراجعة، قرار اعتماد، رابط النسخة النهائية</t>
        </is>
      </c>
      <c r="L3" s="2" t="inlineStr">
        <is>
          <t>استكمال التنفيذ والأدلة والمراجعة والاعتماد والفهرسة.</t>
        </is>
      </c>
    </row>
    <row r="4">
      <c r="A4" s="2" t="inlineStr">
        <is>
          <t>P2.1-T03</t>
        </is>
      </c>
      <c r="B4" s="2" t="inlineStr">
        <is>
          <t>P2.1</t>
        </is>
      </c>
      <c r="C4" s="2" t="inlineStr">
        <is>
          <t>إعداد ARS–NARS Matrix</t>
        </is>
      </c>
      <c r="D4" s="2" t="inlineStr">
        <is>
          <t>عضو فريق P2 رقم 3</t>
        </is>
      </c>
      <c r="E4" s="2" t="inlineStr">
        <is>
          <t>منسق المعيار ووحدة ضمان الجودة</t>
        </is>
      </c>
      <c r="F4" s="2" t="inlineStr">
        <is>
          <t>المجلس الحاكم المختص</t>
        </is>
      </c>
      <c r="G4" s="2" t="inlineStr">
        <is>
          <t>لم تبدأ</t>
        </is>
      </c>
      <c r="H4" s="2" t="n">
        <v>0</v>
      </c>
      <c r="I4" s="2" t="inlineStr">
        <is>
          <t>مرتفعة</t>
        </is>
      </c>
      <c r="J4" s="2" t="inlineStr">
        <is>
          <t>غير محدد</t>
        </is>
      </c>
      <c r="K4" s="2" t="inlineStr">
        <is>
          <t>وثيقة تنفيذ، محضر مراجعة، قرار اعتماد، رابط النسخة النهائية</t>
        </is>
      </c>
      <c r="L4" s="2" t="inlineStr">
        <is>
          <t>استكمال التنفيذ والأدلة والمراجعة والاعتماد والفهرسة.</t>
        </is>
      </c>
    </row>
    <row r="5">
      <c r="A5" s="2" t="inlineStr">
        <is>
          <t>P2.1-T04</t>
        </is>
      </c>
      <c r="B5" s="2" t="inlineStr">
        <is>
          <t>P2.1</t>
        </is>
      </c>
      <c r="C5" s="2" t="inlineStr">
        <is>
          <t>مناقشة المعايير</t>
        </is>
      </c>
      <c r="D5" s="2" t="inlineStr">
        <is>
          <t>عضو فريق P2 رقم 4</t>
        </is>
      </c>
      <c r="E5" s="2" t="inlineStr">
        <is>
          <t>منسق المعيار ووحدة ضمان الجودة</t>
        </is>
      </c>
      <c r="F5" s="2" t="inlineStr">
        <is>
          <t>المجلس الحاكم المختص</t>
        </is>
      </c>
      <c r="G5" s="2" t="inlineStr">
        <is>
          <t>لم تبدأ</t>
        </is>
      </c>
      <c r="H5" s="2" t="n">
        <v>0</v>
      </c>
      <c r="I5" s="2" t="inlineStr">
        <is>
          <t>مرتفعة</t>
        </is>
      </c>
      <c r="J5" s="2" t="inlineStr">
        <is>
          <t>غير محدد</t>
        </is>
      </c>
      <c r="K5" s="2" t="inlineStr">
        <is>
          <t>وثيقة تنفيذ، محضر مراجعة، قرار اعتماد، رابط النسخة النهائية</t>
        </is>
      </c>
      <c r="L5" s="2" t="inlineStr">
        <is>
          <t>استكمال التنفيذ والأدلة والمراجعة والاعتماد والفهرسة.</t>
        </is>
      </c>
    </row>
    <row r="6">
      <c r="A6" s="2" t="inlineStr">
        <is>
          <t>P2.1-T05</t>
        </is>
      </c>
      <c r="B6" s="2" t="inlineStr">
        <is>
          <t>P2.1</t>
        </is>
      </c>
      <c r="C6" s="2" t="inlineStr">
        <is>
          <t>اعتماد التبني والتوعية</t>
        </is>
      </c>
      <c r="D6" s="2" t="inlineStr">
        <is>
          <t>عضو فريق P2 رقم 1</t>
        </is>
      </c>
      <c r="E6" s="2" t="inlineStr">
        <is>
          <t>منسق المعيار ووحدة ضمان الجودة</t>
        </is>
      </c>
      <c r="F6" s="2" t="inlineStr">
        <is>
          <t>المجلس الحاكم المختص</t>
        </is>
      </c>
      <c r="G6" s="2" t="inlineStr">
        <is>
          <t>لم تبدأ</t>
        </is>
      </c>
      <c r="H6" s="2" t="n">
        <v>0</v>
      </c>
      <c r="I6" s="2" t="inlineStr">
        <is>
          <t>مرتفعة</t>
        </is>
      </c>
      <c r="J6" s="2" t="inlineStr">
        <is>
          <t>غير محدد</t>
        </is>
      </c>
      <c r="K6" s="2" t="inlineStr">
        <is>
          <t>وثيقة تنفيذ، محضر مراجعة، قرار اعتماد، رابط النسخة النهائية</t>
        </is>
      </c>
      <c r="L6" s="2" t="inlineStr">
        <is>
          <t>استكمال التنفيذ والأدلة والمراجعة والاعتماد والفهرسة.</t>
        </is>
      </c>
    </row>
    <row r="7">
      <c r="A7" s="2" t="inlineStr">
        <is>
          <t>P2.2-T01</t>
        </is>
      </c>
      <c r="B7" s="2" t="inlineStr">
        <is>
          <t>P2.2</t>
        </is>
      </c>
      <c r="C7" s="2" t="inlineStr">
        <is>
          <t>مراجعة الرسالة</t>
        </is>
      </c>
      <c r="D7" s="2" t="inlineStr">
        <is>
          <t>عضو فريق P2 رقم 2</t>
        </is>
      </c>
      <c r="E7" s="2" t="inlineStr">
        <is>
          <t>منسق المعيار ووحدة ضمان الجودة</t>
        </is>
      </c>
      <c r="F7" s="2" t="inlineStr">
        <is>
          <t>المجلس الحاكم المختص</t>
        </is>
      </c>
      <c r="G7" s="2" t="inlineStr">
        <is>
          <t>لم تبدأ</t>
        </is>
      </c>
      <c r="H7" s="2" t="n">
        <v>0</v>
      </c>
      <c r="I7" s="2" t="inlineStr">
        <is>
          <t>مرتفعة</t>
        </is>
      </c>
      <c r="J7" s="2" t="inlineStr">
        <is>
          <t>غير محدد</t>
        </is>
      </c>
      <c r="K7" s="2" t="inlineStr">
        <is>
          <t>وثيقة تنفيذ، محضر مراجعة، قرار اعتماد، رابط النسخة النهائية</t>
        </is>
      </c>
      <c r="L7" s="2" t="inlineStr">
        <is>
          <t>استكمال التنفيذ والأدلة والمراجعة والاعتماد والفهرسة.</t>
        </is>
      </c>
    </row>
    <row r="8">
      <c r="A8" s="2" t="inlineStr">
        <is>
          <t>P2.2-T02</t>
        </is>
      </c>
      <c r="B8" s="2" t="inlineStr">
        <is>
          <t>P2.2</t>
        </is>
      </c>
      <c r="C8" s="2" t="inlineStr">
        <is>
          <t>صياغة Program Aims</t>
        </is>
      </c>
      <c r="D8" s="2" t="inlineStr">
        <is>
          <t>عضو فريق P2 رقم 3</t>
        </is>
      </c>
      <c r="E8" s="2" t="inlineStr">
        <is>
          <t>منسق المعيار ووحدة ضمان الجودة</t>
        </is>
      </c>
      <c r="F8" s="2" t="inlineStr">
        <is>
          <t>المجلس الحاكم المختص</t>
        </is>
      </c>
      <c r="G8" s="2" t="inlineStr">
        <is>
          <t>لم تبدأ</t>
        </is>
      </c>
      <c r="H8" s="2" t="n">
        <v>0</v>
      </c>
      <c r="I8" s="2" t="inlineStr">
        <is>
          <t>مرتفعة</t>
        </is>
      </c>
      <c r="J8" s="2" t="inlineStr">
        <is>
          <t>غير محدد</t>
        </is>
      </c>
      <c r="K8" s="2" t="inlineStr">
        <is>
          <t>وثيقة تنفيذ، محضر مراجعة، قرار اعتماد، رابط النسخة النهائية</t>
        </is>
      </c>
      <c r="L8" s="2" t="inlineStr">
        <is>
          <t>استكمال التنفيذ والأدلة والمراجعة والاعتماد والفهرسة.</t>
        </is>
      </c>
    </row>
    <row r="9">
      <c r="A9" s="2" t="inlineStr">
        <is>
          <t>P2.2-T03</t>
        </is>
      </c>
      <c r="B9" s="2" t="inlineStr">
        <is>
          <t>P2.2</t>
        </is>
      </c>
      <c r="C9" s="2" t="inlineStr">
        <is>
          <t>مواءمة الأهداف مع الرسالة</t>
        </is>
      </c>
      <c r="D9" s="2" t="inlineStr">
        <is>
          <t>عضو فريق P2 رقم 4</t>
        </is>
      </c>
      <c r="E9" s="2" t="inlineStr">
        <is>
          <t>منسق المعيار ووحدة ضمان الجودة</t>
        </is>
      </c>
      <c r="F9" s="2" t="inlineStr">
        <is>
          <t>المجلس الحاكم المختص</t>
        </is>
      </c>
      <c r="G9" s="2" t="inlineStr">
        <is>
          <t>لم تبدأ</t>
        </is>
      </c>
      <c r="H9" s="2" t="n">
        <v>0</v>
      </c>
      <c r="I9" s="2" t="inlineStr">
        <is>
          <t>مرتفعة</t>
        </is>
      </c>
      <c r="J9" s="2" t="inlineStr">
        <is>
          <t>غير محدد</t>
        </is>
      </c>
      <c r="K9" s="2" t="inlineStr">
        <is>
          <t>وثيقة تنفيذ، محضر مراجعة، قرار اعتماد، رابط النسخة النهائية</t>
        </is>
      </c>
      <c r="L9" s="2" t="inlineStr">
        <is>
          <t>استكمال التنفيذ والأدلة والمراجعة والاعتماد والفهرسة.</t>
        </is>
      </c>
    </row>
    <row r="10">
      <c r="A10" s="2" t="inlineStr">
        <is>
          <t>P2.2-T04</t>
        </is>
      </c>
      <c r="B10" s="2" t="inlineStr">
        <is>
          <t>P2.2</t>
        </is>
      </c>
      <c r="C10" s="2" t="inlineStr">
        <is>
          <t>مواءمتها مع مواصفات الخريج</t>
        </is>
      </c>
      <c r="D10" s="2" t="inlineStr">
        <is>
          <t>عضو فريق P2 رقم 1</t>
        </is>
      </c>
      <c r="E10" s="2" t="inlineStr">
        <is>
          <t>منسق المعيار ووحدة ضمان الجودة</t>
        </is>
      </c>
      <c r="F10" s="2" t="inlineStr">
        <is>
          <t>المجلس الحاكم المختص</t>
        </is>
      </c>
      <c r="G10" s="2" t="inlineStr">
        <is>
          <t>لم تبدأ</t>
        </is>
      </c>
      <c r="H10" s="2" t="n">
        <v>0</v>
      </c>
      <c r="I10" s="2" t="inlineStr">
        <is>
          <t>مرتفعة</t>
        </is>
      </c>
      <c r="J10" s="2" t="inlineStr">
        <is>
          <t>غير محدد</t>
        </is>
      </c>
      <c r="K10" s="2" t="inlineStr">
        <is>
          <t>وثيقة تنفيذ، محضر مراجعة، قرار اعتماد، رابط النسخة النهائية</t>
        </is>
      </c>
      <c r="L10" s="2" t="inlineStr">
        <is>
          <t>استكمال التنفيذ والأدلة والمراجعة والاعتماد والفهرسة.</t>
        </is>
      </c>
    </row>
    <row r="11">
      <c r="A11" s="2" t="inlineStr">
        <is>
          <t>P2.2-T05</t>
        </is>
      </c>
      <c r="B11" s="2" t="inlineStr">
        <is>
          <t>P2.2</t>
        </is>
      </c>
      <c r="C11" s="2" t="inlineStr">
        <is>
          <t>الاعتماد والإعلان</t>
        </is>
      </c>
      <c r="D11" s="2" t="inlineStr">
        <is>
          <t>عضو فريق P2 رقم 2</t>
        </is>
      </c>
      <c r="E11" s="2" t="inlineStr">
        <is>
          <t>منسق المعيار ووحدة ضمان الجودة</t>
        </is>
      </c>
      <c r="F11" s="2" t="inlineStr">
        <is>
          <t>المجلس الحاكم المختص</t>
        </is>
      </c>
      <c r="G11" s="2" t="inlineStr">
        <is>
          <t>لم تبدأ</t>
        </is>
      </c>
      <c r="H11" s="2" t="n">
        <v>0</v>
      </c>
      <c r="I11" s="2" t="inlineStr">
        <is>
          <t>مرتفعة</t>
        </is>
      </c>
      <c r="J11" s="2" t="inlineStr">
        <is>
          <t>غير محدد</t>
        </is>
      </c>
      <c r="K11" s="2" t="inlineStr">
        <is>
          <t>وثيقة تنفيذ، محضر مراجعة، قرار اعتماد، رابط النسخة النهائية</t>
        </is>
      </c>
      <c r="L11" s="2" t="inlineStr">
        <is>
          <t>استكمال التنفيذ والأدلة والمراجعة والاعتماد والفهرسة.</t>
        </is>
      </c>
    </row>
    <row r="12">
      <c r="A12" s="2" t="inlineStr">
        <is>
          <t>P2.3-T01</t>
        </is>
      </c>
      <c r="B12" s="2" t="inlineStr">
        <is>
          <t>P2.3</t>
        </is>
      </c>
      <c r="C12" s="2" t="inlineStr">
        <is>
          <t>تحليل الساعات والمكونات</t>
        </is>
      </c>
      <c r="D12" s="2" t="inlineStr">
        <is>
          <t>عضو فريق P2 رقم 3</t>
        </is>
      </c>
      <c r="E12" s="2" t="inlineStr">
        <is>
          <t>منسق المعيار ووحدة ضمان الجودة</t>
        </is>
      </c>
      <c r="F12" s="2" t="inlineStr">
        <is>
          <t>المجلس الحاكم المختص</t>
        </is>
      </c>
      <c r="G12" s="2" t="inlineStr">
        <is>
          <t>لم تبدأ</t>
        </is>
      </c>
      <c r="H12" s="2" t="n">
        <v>0</v>
      </c>
      <c r="I12" s="2" t="inlineStr">
        <is>
          <t>مرتفعة</t>
        </is>
      </c>
      <c r="J12" s="2" t="inlineStr">
        <is>
          <t>غير محدد</t>
        </is>
      </c>
      <c r="K12" s="2" t="inlineStr">
        <is>
          <t>وثيقة تنفيذ، محضر مراجعة، قرار اعتماد، رابط النسخة النهائية</t>
        </is>
      </c>
      <c r="L12" s="2" t="inlineStr">
        <is>
          <t>استكمال التنفيذ والأدلة والمراجعة والاعتماد والفهرسة.</t>
        </is>
      </c>
    </row>
    <row r="13">
      <c r="A13" s="2" t="inlineStr">
        <is>
          <t>P2.3-T02</t>
        </is>
      </c>
      <c r="B13" s="2" t="inlineStr">
        <is>
          <t>P2.3</t>
        </is>
      </c>
      <c r="C13" s="2" t="inlineStr">
        <is>
          <t>تحليل التكامل والتسلسل</t>
        </is>
      </c>
      <c r="D13" s="2" t="inlineStr">
        <is>
          <t>عضو فريق P2 رقم 4</t>
        </is>
      </c>
      <c r="E13" s="2" t="inlineStr">
        <is>
          <t>منسق المعيار ووحدة ضمان الجودة</t>
        </is>
      </c>
      <c r="F13" s="2" t="inlineStr">
        <is>
          <t>المجلس الحاكم المختص</t>
        </is>
      </c>
      <c r="G13" s="2" t="inlineStr">
        <is>
          <t>لم تبدأ</t>
        </is>
      </c>
      <c r="H13" s="2" t="n">
        <v>0</v>
      </c>
      <c r="I13" s="2" t="inlineStr">
        <is>
          <t>مرتفعة</t>
        </is>
      </c>
      <c r="J13" s="2" t="inlineStr">
        <is>
          <t>غير محدد</t>
        </is>
      </c>
      <c r="K13" s="2" t="inlineStr">
        <is>
          <t>وثيقة تنفيذ، محضر مراجعة، قرار اعتماد، رابط النسخة النهائية</t>
        </is>
      </c>
      <c r="L13" s="2" t="inlineStr">
        <is>
          <t>استكمال التنفيذ والأدلة والمراجعة والاعتماد والفهرسة.</t>
        </is>
      </c>
    </row>
    <row r="14">
      <c r="A14" s="2" t="inlineStr">
        <is>
          <t>P2.3-T03</t>
        </is>
      </c>
      <c r="B14" s="2" t="inlineStr">
        <is>
          <t>P2.3</t>
        </is>
      </c>
      <c r="C14" s="2" t="inlineStr">
        <is>
          <t>تحليل الحداثة</t>
        </is>
      </c>
      <c r="D14" s="2" t="inlineStr">
        <is>
          <t>عضو فريق P2 رقم 1</t>
        </is>
      </c>
      <c r="E14" s="2" t="inlineStr">
        <is>
          <t>منسق المعيار ووحدة ضمان الجودة</t>
        </is>
      </c>
      <c r="F14" s="2" t="inlineStr">
        <is>
          <t>المجلس الحاكم المختص</t>
        </is>
      </c>
      <c r="G14" s="2" t="inlineStr">
        <is>
          <t>لم تبدأ</t>
        </is>
      </c>
      <c r="H14" s="2" t="n">
        <v>0</v>
      </c>
      <c r="I14" s="2" t="inlineStr">
        <is>
          <t>مرتفعة</t>
        </is>
      </c>
      <c r="J14" s="2" t="inlineStr">
        <is>
          <t>غير محدد</t>
        </is>
      </c>
      <c r="K14" s="2" t="inlineStr">
        <is>
          <t>وثيقة تنفيذ، محضر مراجعة، قرار اعتماد، رابط النسخة النهائية</t>
        </is>
      </c>
      <c r="L14" s="2" t="inlineStr">
        <is>
          <t>استكمال التنفيذ والأدلة والمراجعة والاعتماد والفهرسة.</t>
        </is>
      </c>
    </row>
    <row r="15">
      <c r="A15" s="2" t="inlineStr">
        <is>
          <t>P2.3-T04</t>
        </is>
      </c>
      <c r="B15" s="2" t="inlineStr">
        <is>
          <t>P2.3</t>
        </is>
      </c>
      <c r="C15" s="2" t="inlineStr">
        <is>
          <t>تحليل التوازن النظري والتطبيقي</t>
        </is>
      </c>
      <c r="D15" s="2" t="inlineStr">
        <is>
          <t>عضو فريق P2 رقم 2</t>
        </is>
      </c>
      <c r="E15" s="2" t="inlineStr">
        <is>
          <t>منسق المعيار ووحدة ضمان الجودة</t>
        </is>
      </c>
      <c r="F15" s="2" t="inlineStr">
        <is>
          <t>المجلس الحاكم المختص</t>
        </is>
      </c>
      <c r="G15" s="2" t="inlineStr">
        <is>
          <t>لم تبدأ</t>
        </is>
      </c>
      <c r="H15" s="2" t="n">
        <v>0</v>
      </c>
      <c r="I15" s="2" t="inlineStr">
        <is>
          <t>مرتفعة</t>
        </is>
      </c>
      <c r="J15" s="2" t="inlineStr">
        <is>
          <t>غير محدد</t>
        </is>
      </c>
      <c r="K15" s="2" t="inlineStr">
        <is>
          <t>وثيقة تنفيذ، محضر مراجعة، قرار اعتماد، رابط النسخة النهائية</t>
        </is>
      </c>
      <c r="L15" s="2" t="inlineStr">
        <is>
          <t>استكمال التنفيذ والأدلة والمراجعة والاعتماد والفهرسة.</t>
        </is>
      </c>
    </row>
    <row r="16">
      <c r="A16" s="2" t="inlineStr">
        <is>
          <t>P2.3-T05</t>
        </is>
      </c>
      <c r="B16" s="2" t="inlineStr">
        <is>
          <t>P2.3</t>
        </is>
      </c>
      <c r="C16" s="2" t="inlineStr">
        <is>
          <t>تحليل المتطلبات</t>
        </is>
      </c>
      <c r="D16" s="2" t="inlineStr">
        <is>
          <t>عضو فريق P2 رقم 3</t>
        </is>
      </c>
      <c r="E16" s="2" t="inlineStr">
        <is>
          <t>منسق المعيار ووحدة ضمان الجودة</t>
        </is>
      </c>
      <c r="F16" s="2" t="inlineStr">
        <is>
          <t>المجلس الحاكم المختص</t>
        </is>
      </c>
      <c r="G16" s="2" t="inlineStr">
        <is>
          <t>لم تبدأ</t>
        </is>
      </c>
      <c r="H16" s="2" t="n">
        <v>0</v>
      </c>
      <c r="I16" s="2" t="inlineStr">
        <is>
          <t>مرتفعة</t>
        </is>
      </c>
      <c r="J16" s="2" t="inlineStr">
        <is>
          <t>غير محدد</t>
        </is>
      </c>
      <c r="K16" s="2" t="inlineStr">
        <is>
          <t>وثيقة تنفيذ، محضر مراجعة، قرار اعتماد، رابط النسخة النهائية</t>
        </is>
      </c>
      <c r="L16" s="2" t="inlineStr">
        <is>
          <t>استكمال التنفيذ والأدلة والمراجعة والاعتماد والفهرسة.</t>
        </is>
      </c>
    </row>
    <row r="17">
      <c r="A17" s="2" t="inlineStr">
        <is>
          <t>P2.3-T06</t>
        </is>
      </c>
      <c r="B17" s="2" t="inlineStr">
        <is>
          <t>P2.3</t>
        </is>
      </c>
      <c r="C17" s="2" t="inlineStr">
        <is>
          <t>اعتماد التحديثات</t>
        </is>
      </c>
      <c r="D17" s="2" t="inlineStr">
        <is>
          <t>عضو فريق P2 رقم 4</t>
        </is>
      </c>
      <c r="E17" s="2" t="inlineStr">
        <is>
          <t>منسق المعيار ووحدة ضمان الجودة</t>
        </is>
      </c>
      <c r="F17" s="2" t="inlineStr">
        <is>
          <t>المجلس الحاكم المختص</t>
        </is>
      </c>
      <c r="G17" s="2" t="inlineStr">
        <is>
          <t>لم تبدأ</t>
        </is>
      </c>
      <c r="H17" s="2" t="n">
        <v>0</v>
      </c>
      <c r="I17" s="2" t="inlineStr">
        <is>
          <t>مرتفعة</t>
        </is>
      </c>
      <c r="J17" s="2" t="inlineStr">
        <is>
          <t>غير محدد</t>
        </is>
      </c>
      <c r="K17" s="2" t="inlineStr">
        <is>
          <t>وثيقة تنفيذ، محضر مراجعة، قرار اعتماد، رابط النسخة النهائية</t>
        </is>
      </c>
      <c r="L17" s="2" t="inlineStr">
        <is>
          <t>استكمال التنفيذ والأدلة والمراجعة والاعتماد والفهرسة.</t>
        </is>
      </c>
    </row>
    <row r="18">
      <c r="A18" s="2" t="inlineStr">
        <is>
          <t>P2.4-T01</t>
        </is>
      </c>
      <c r="B18" s="2" t="inlineStr">
        <is>
          <t>P2.4</t>
        </is>
      </c>
      <c r="C18" s="2" t="inlineStr">
        <is>
          <t>إعداد الاستراتيجية</t>
        </is>
      </c>
      <c r="D18" s="2" t="inlineStr">
        <is>
          <t>عضو فريق P2 رقم 1</t>
        </is>
      </c>
      <c r="E18" s="2" t="inlineStr">
        <is>
          <t>منسق المعيار ووحدة ضمان الجودة</t>
        </is>
      </c>
      <c r="F18" s="2" t="inlineStr">
        <is>
          <t>المجلس الحاكم المختص</t>
        </is>
      </c>
      <c r="G18" s="2" t="inlineStr">
        <is>
          <t>لم تبدأ</t>
        </is>
      </c>
      <c r="H18" s="2" t="n">
        <v>0</v>
      </c>
      <c r="I18" s="2" t="inlineStr">
        <is>
          <t>مرتفعة</t>
        </is>
      </c>
      <c r="J18" s="2" t="inlineStr">
        <is>
          <t>غير محدد</t>
        </is>
      </c>
      <c r="K18" s="2" t="inlineStr">
        <is>
          <t>وثيقة تنفيذ، محضر مراجعة، قرار اعتماد، رابط النسخة النهائية</t>
        </is>
      </c>
      <c r="L18" s="2" t="inlineStr">
        <is>
          <t>استكمال التنفيذ والأدلة والمراجعة والاعتماد والفهرسة.</t>
        </is>
      </c>
    </row>
    <row r="19">
      <c r="A19" s="2" t="inlineStr">
        <is>
          <t>P2.4-T02</t>
        </is>
      </c>
      <c r="B19" s="2" t="inlineStr">
        <is>
          <t>P2.4</t>
        </is>
      </c>
      <c r="C19" s="2" t="inlineStr">
        <is>
          <t>مواءمتها مع المعايير</t>
        </is>
      </c>
      <c r="D19" s="2" t="inlineStr">
        <is>
          <t>عضو فريق P2 رقم 2</t>
        </is>
      </c>
      <c r="E19" s="2" t="inlineStr">
        <is>
          <t>منسق المعيار ووحدة ضمان الجودة</t>
        </is>
      </c>
      <c r="F19" s="2" t="inlineStr">
        <is>
          <t>المجلس الحاكم المختص</t>
        </is>
      </c>
      <c r="G19" s="2" t="inlineStr">
        <is>
          <t>لم تبدأ</t>
        </is>
      </c>
      <c r="H19" s="2" t="n">
        <v>0</v>
      </c>
      <c r="I19" s="2" t="inlineStr">
        <is>
          <t>مرتفعة</t>
        </is>
      </c>
      <c r="J19" s="2" t="inlineStr">
        <is>
          <t>غير محدد</t>
        </is>
      </c>
      <c r="K19" s="2" t="inlineStr">
        <is>
          <t>وثيقة تنفيذ، محضر مراجعة، قرار اعتماد، رابط النسخة النهائية</t>
        </is>
      </c>
      <c r="L19" s="2" t="inlineStr">
        <is>
          <t>استكمال التنفيذ والأدلة والمراجعة والاعتماد والفهرسة.</t>
        </is>
      </c>
    </row>
    <row r="20">
      <c r="A20" s="2" t="inlineStr">
        <is>
          <t>P2.4-T03</t>
        </is>
      </c>
      <c r="B20" s="2" t="inlineStr">
        <is>
          <t>P2.4</t>
        </is>
      </c>
      <c r="C20" s="2" t="inlineStr">
        <is>
          <t>ربط التعليم بالمخرجات</t>
        </is>
      </c>
      <c r="D20" s="2" t="inlineStr">
        <is>
          <t>عضو فريق P2 رقم 3</t>
        </is>
      </c>
      <c r="E20" s="2" t="inlineStr">
        <is>
          <t>منسق المعيار ووحدة ضمان الجودة</t>
        </is>
      </c>
      <c r="F20" s="2" t="inlineStr">
        <is>
          <t>المجلس الحاكم المختص</t>
        </is>
      </c>
      <c r="G20" s="2" t="inlineStr">
        <is>
          <t>لم تبدأ</t>
        </is>
      </c>
      <c r="H20" s="2" t="n">
        <v>0</v>
      </c>
      <c r="I20" s="2" t="inlineStr">
        <is>
          <t>مرتفعة</t>
        </is>
      </c>
      <c r="J20" s="2" t="inlineStr">
        <is>
          <t>غير محدد</t>
        </is>
      </c>
      <c r="K20" s="2" t="inlineStr">
        <is>
          <t>وثيقة تنفيذ، محضر مراجعة، قرار اعتماد، رابط النسخة النهائية</t>
        </is>
      </c>
      <c r="L20" s="2" t="inlineStr">
        <is>
          <t>استكمال التنفيذ والأدلة والمراجعة والاعتماد والفهرسة.</t>
        </is>
      </c>
    </row>
    <row r="21">
      <c r="A21" s="2" t="inlineStr">
        <is>
          <t>P2.4-T04</t>
        </is>
      </c>
      <c r="B21" s="2" t="inlineStr">
        <is>
          <t>P2.4</t>
        </is>
      </c>
      <c r="C21" s="2" t="inlineStr">
        <is>
          <t>ربط التقييم بالمخرجات</t>
        </is>
      </c>
      <c r="D21" s="2" t="inlineStr">
        <is>
          <t>عضو فريق P2 رقم 4</t>
        </is>
      </c>
      <c r="E21" s="2" t="inlineStr">
        <is>
          <t>منسق المعيار ووحدة ضمان الجودة</t>
        </is>
      </c>
      <c r="F21" s="2" t="inlineStr">
        <is>
          <t>المجلس الحاكم المختص</t>
        </is>
      </c>
      <c r="G21" s="2" t="inlineStr">
        <is>
          <t>لم تبدأ</t>
        </is>
      </c>
      <c r="H21" s="2" t="n">
        <v>0</v>
      </c>
      <c r="I21" s="2" t="inlineStr">
        <is>
          <t>مرتفعة</t>
        </is>
      </c>
      <c r="J21" s="2" t="inlineStr">
        <is>
          <t>غير محدد</t>
        </is>
      </c>
      <c r="K21" s="2" t="inlineStr">
        <is>
          <t>وثيقة تنفيذ، محضر مراجعة، قرار اعتماد، رابط النسخة النهائية</t>
        </is>
      </c>
      <c r="L21" s="2" t="inlineStr">
        <is>
          <t>استكمال التنفيذ والأدلة والمراجعة والاعتماد والفهرسة.</t>
        </is>
      </c>
    </row>
    <row r="22">
      <c r="A22" s="2" t="inlineStr">
        <is>
          <t>P2.4-T05</t>
        </is>
      </c>
      <c r="B22" s="2" t="inlineStr">
        <is>
          <t>P2.4</t>
        </is>
      </c>
      <c r="C22" s="2" t="inlineStr">
        <is>
          <t>الاعتماد والإعلان</t>
        </is>
      </c>
      <c r="D22" s="2" t="inlineStr">
        <is>
          <t>عضو فريق P2 رقم 1</t>
        </is>
      </c>
      <c r="E22" s="2" t="inlineStr">
        <is>
          <t>منسق المعيار ووحدة ضمان الجودة</t>
        </is>
      </c>
      <c r="F22" s="2" t="inlineStr">
        <is>
          <t>المجلس الحاكم المختص</t>
        </is>
      </c>
      <c r="G22" s="2" t="inlineStr">
        <is>
          <t>لم تبدأ</t>
        </is>
      </c>
      <c r="H22" s="2" t="n">
        <v>0</v>
      </c>
      <c r="I22" s="2" t="inlineStr">
        <is>
          <t>مرتفعة</t>
        </is>
      </c>
      <c r="J22" s="2" t="inlineStr">
        <is>
          <t>غير محدد</t>
        </is>
      </c>
      <c r="K22" s="2" t="inlineStr">
        <is>
          <t>وثيقة تنفيذ، محضر مراجعة، قرار اعتماد، رابط النسخة النهائية</t>
        </is>
      </c>
      <c r="L22" s="2" t="inlineStr">
        <is>
          <t>استكمال التنفيذ والأدلة والمراجعة والاعتماد والفهرسة.</t>
        </is>
      </c>
    </row>
    <row r="23">
      <c r="A23" s="2" t="inlineStr">
        <is>
          <t>P2.4-T06</t>
        </is>
      </c>
      <c r="B23" s="2" t="inlineStr">
        <is>
          <t>P2.4</t>
        </is>
      </c>
      <c r="C23" s="2" t="inlineStr">
        <is>
          <t>المراجعة الدورية</t>
        </is>
      </c>
      <c r="D23" s="2" t="inlineStr">
        <is>
          <t>عضو فريق P2 رقم 2</t>
        </is>
      </c>
      <c r="E23" s="2" t="inlineStr">
        <is>
          <t>منسق المعيار ووحدة ضمان الجودة</t>
        </is>
      </c>
      <c r="F23" s="2" t="inlineStr">
        <is>
          <t>المجلس الحاكم المختص</t>
        </is>
      </c>
      <c r="G23" s="2" t="inlineStr">
        <is>
          <t>لم تبدأ</t>
        </is>
      </c>
      <c r="H23" s="2" t="n">
        <v>0</v>
      </c>
      <c r="I23" s="2" t="inlineStr">
        <is>
          <t>مرتفعة</t>
        </is>
      </c>
      <c r="J23" s="2" t="inlineStr">
        <is>
          <t>غير محدد</t>
        </is>
      </c>
      <c r="K23" s="2" t="inlineStr">
        <is>
          <t>وثيقة تنفيذ، محضر مراجعة، قرار اعتماد، رابط النسخة النهائية</t>
        </is>
      </c>
      <c r="L23" s="2" t="inlineStr">
        <is>
          <t>استكمال التنفيذ والأدلة والمراجعة والاعتماد والفهرسة.</t>
        </is>
      </c>
    </row>
    <row r="24">
      <c r="A24" s="2" t="inlineStr">
        <is>
          <t>P2.5-T01</t>
        </is>
      </c>
      <c r="B24" s="2" t="inlineStr">
        <is>
          <t>P2.5</t>
        </is>
      </c>
      <c r="C24" s="2" t="inlineStr">
        <is>
          <t>استكمال نموذج التوصيف</t>
        </is>
      </c>
      <c r="D24" s="2" t="inlineStr">
        <is>
          <t>عضو فريق P2 رقم 3</t>
        </is>
      </c>
      <c r="E24" s="2" t="inlineStr">
        <is>
          <t>منسق المعيار ووحدة ضمان الجودة</t>
        </is>
      </c>
      <c r="F24" s="2" t="inlineStr">
        <is>
          <t>المجلس الحاكم المختص</t>
        </is>
      </c>
      <c r="G24" s="2" t="inlineStr">
        <is>
          <t>لم تبدأ</t>
        </is>
      </c>
      <c r="H24" s="2" t="n">
        <v>0</v>
      </c>
      <c r="I24" s="2" t="inlineStr">
        <is>
          <t>مرتفعة</t>
        </is>
      </c>
      <c r="J24" s="2" t="inlineStr">
        <is>
          <t>غير محدد</t>
        </is>
      </c>
      <c r="K24" s="2" t="inlineStr">
        <is>
          <t>وثيقة تنفيذ، محضر مراجعة، قرار اعتماد، رابط النسخة النهائية</t>
        </is>
      </c>
      <c r="L24" s="2" t="inlineStr">
        <is>
          <t>استكمال التنفيذ والأدلة والمراجعة والاعتماد والفهرسة.</t>
        </is>
      </c>
    </row>
    <row r="25">
      <c r="A25" s="2" t="inlineStr">
        <is>
          <t>P2.5-T02</t>
        </is>
      </c>
      <c r="B25" s="2" t="inlineStr">
        <is>
          <t>P2.5</t>
        </is>
      </c>
      <c r="C25" s="2" t="inlineStr">
        <is>
          <t>مطابقة اللائحة</t>
        </is>
      </c>
      <c r="D25" s="2" t="inlineStr">
        <is>
          <t>عضو فريق P2 رقم 4</t>
        </is>
      </c>
      <c r="E25" s="2" t="inlineStr">
        <is>
          <t>منسق المعيار ووحدة ضمان الجودة</t>
        </is>
      </c>
      <c r="F25" s="2" t="inlineStr">
        <is>
          <t>المجلس الحاكم المختص</t>
        </is>
      </c>
      <c r="G25" s="2" t="inlineStr">
        <is>
          <t>لم تبدأ</t>
        </is>
      </c>
      <c r="H25" s="2" t="n">
        <v>0</v>
      </c>
      <c r="I25" s="2" t="inlineStr">
        <is>
          <t>مرتفعة</t>
        </is>
      </c>
      <c r="J25" s="2" t="inlineStr">
        <is>
          <t>غير محدد</t>
        </is>
      </c>
      <c r="K25" s="2" t="inlineStr">
        <is>
          <t>وثيقة تنفيذ، محضر مراجعة، قرار اعتماد، رابط النسخة النهائية</t>
        </is>
      </c>
      <c r="L25" s="2" t="inlineStr">
        <is>
          <t>استكمال التنفيذ والأدلة والمراجعة والاعتماد والفهرسة.</t>
        </is>
      </c>
    </row>
    <row r="26">
      <c r="A26" s="2" t="inlineStr">
        <is>
          <t>P2.5-T03</t>
        </is>
      </c>
      <c r="B26" s="2" t="inlineStr">
        <is>
          <t>P2.5</t>
        </is>
      </c>
      <c r="C26" s="2" t="inlineStr">
        <is>
          <t>مراجعة البيانات والهيكل</t>
        </is>
      </c>
      <c r="D26" s="2" t="inlineStr">
        <is>
          <t>عضو فريق P2 رقم 1</t>
        </is>
      </c>
      <c r="E26" s="2" t="inlineStr">
        <is>
          <t>منسق المعيار ووحدة ضمان الجودة</t>
        </is>
      </c>
      <c r="F26" s="2" t="inlineStr">
        <is>
          <t>المجلس الحاكم المختص</t>
        </is>
      </c>
      <c r="G26" s="2" t="inlineStr">
        <is>
          <t>لم تبدأ</t>
        </is>
      </c>
      <c r="H26" s="2" t="n">
        <v>0</v>
      </c>
      <c r="I26" s="2" t="inlineStr">
        <is>
          <t>مرتفعة</t>
        </is>
      </c>
      <c r="J26" s="2" t="inlineStr">
        <is>
          <t>غير محدد</t>
        </is>
      </c>
      <c r="K26" s="2" t="inlineStr">
        <is>
          <t>وثيقة تنفيذ، محضر مراجعة، قرار اعتماد، رابط النسخة النهائية</t>
        </is>
      </c>
      <c r="L26" s="2" t="inlineStr">
        <is>
          <t>استكمال التنفيذ والأدلة والمراجعة والاعتماد والفهرسة.</t>
        </is>
      </c>
    </row>
    <row r="27">
      <c r="A27" s="2" t="inlineStr">
        <is>
          <t>P2.5-T04</t>
        </is>
      </c>
      <c r="B27" s="2" t="inlineStr">
        <is>
          <t>P2.5</t>
        </is>
      </c>
      <c r="C27" s="2" t="inlineStr">
        <is>
          <t>اعتماد التوصيف</t>
        </is>
      </c>
      <c r="D27" s="2" t="inlineStr">
        <is>
          <t>عضو فريق P2 رقم 2</t>
        </is>
      </c>
      <c r="E27" s="2" t="inlineStr">
        <is>
          <t>منسق المعيار ووحدة ضمان الجودة</t>
        </is>
      </c>
      <c r="F27" s="2" t="inlineStr">
        <is>
          <t>المجلس الحاكم المختص</t>
        </is>
      </c>
      <c r="G27" s="2" t="inlineStr">
        <is>
          <t>لم تبدأ</t>
        </is>
      </c>
      <c r="H27" s="2" t="n">
        <v>0</v>
      </c>
      <c r="I27" s="2" t="inlineStr">
        <is>
          <t>مرتفعة</t>
        </is>
      </c>
      <c r="J27" s="2" t="inlineStr">
        <is>
          <t>غير محدد</t>
        </is>
      </c>
      <c r="K27" s="2" t="inlineStr">
        <is>
          <t>وثيقة تنفيذ، محضر مراجعة، قرار اعتماد، رابط النسخة النهائية</t>
        </is>
      </c>
      <c r="L27" s="2" t="inlineStr">
        <is>
          <t>استكمال التنفيذ والأدلة والمراجعة والاعتماد والفهرسة.</t>
        </is>
      </c>
    </row>
    <row r="28">
      <c r="A28" s="2" t="inlineStr">
        <is>
          <t>P2.5-T05</t>
        </is>
      </c>
      <c r="B28" s="2" t="inlineStr">
        <is>
          <t>P2.5</t>
        </is>
      </c>
      <c r="C28" s="2" t="inlineStr">
        <is>
          <t>إعلانه وإتاحته</t>
        </is>
      </c>
      <c r="D28" s="2" t="inlineStr">
        <is>
          <t>عضو فريق P2 رقم 3</t>
        </is>
      </c>
      <c r="E28" s="2" t="inlineStr">
        <is>
          <t>منسق المعيار ووحدة ضمان الجودة</t>
        </is>
      </c>
      <c r="F28" s="2" t="inlineStr">
        <is>
          <t>المجلس الحاكم المختص</t>
        </is>
      </c>
      <c r="G28" s="2" t="inlineStr">
        <is>
          <t>لم تبدأ</t>
        </is>
      </c>
      <c r="H28" s="2" t="n">
        <v>0</v>
      </c>
      <c r="I28" s="2" t="inlineStr">
        <is>
          <t>مرتفعة</t>
        </is>
      </c>
      <c r="J28" s="2" t="inlineStr">
        <is>
          <t>غير محدد</t>
        </is>
      </c>
      <c r="K28" s="2" t="inlineStr">
        <is>
          <t>وثيقة تنفيذ، محضر مراجعة، قرار اعتماد، رابط النسخة النهائية</t>
        </is>
      </c>
      <c r="L28" s="2" t="inlineStr">
        <is>
          <t>استكمال التنفيذ والأدلة والمراجعة والاعتماد والفهرسة.</t>
        </is>
      </c>
    </row>
    <row r="29">
      <c r="A29" s="2" t="inlineStr">
        <is>
          <t>P2.6-T01</t>
        </is>
      </c>
      <c r="B29" s="2" t="inlineStr">
        <is>
          <t>P2.6</t>
        </is>
      </c>
      <c r="C29" s="2" t="inlineStr">
        <is>
          <t>PLO–Standards Matrix</t>
        </is>
      </c>
      <c r="D29" s="2" t="inlineStr">
        <is>
          <t>عضو فريق P2 رقم 4</t>
        </is>
      </c>
      <c r="E29" s="2" t="inlineStr">
        <is>
          <t>منسق المعيار ووحدة ضمان الجودة</t>
        </is>
      </c>
      <c r="F29" s="2" t="inlineStr">
        <is>
          <t>المجلس الحاكم المختص</t>
        </is>
      </c>
      <c r="G29" s="2" t="inlineStr">
        <is>
          <t>لم تبدأ</t>
        </is>
      </c>
      <c r="H29" s="2" t="n">
        <v>0</v>
      </c>
      <c r="I29" s="2" t="inlineStr">
        <is>
          <t>مرتفعة</t>
        </is>
      </c>
      <c r="J29" s="2" t="inlineStr">
        <is>
          <t>غير محدد</t>
        </is>
      </c>
      <c r="K29" s="2" t="inlineStr">
        <is>
          <t>وثيقة تنفيذ، محضر مراجعة، قرار اعتماد، رابط النسخة النهائية</t>
        </is>
      </c>
      <c r="L29" s="2" t="inlineStr">
        <is>
          <t>استكمال التنفيذ والأدلة والمراجعة والاعتماد والفهرسة.</t>
        </is>
      </c>
    </row>
    <row r="30">
      <c r="A30" s="2" t="inlineStr">
        <is>
          <t>P2.6-T02</t>
        </is>
      </c>
      <c r="B30" s="2" t="inlineStr">
        <is>
          <t>P2.6</t>
        </is>
      </c>
      <c r="C30" s="2" t="inlineStr">
        <is>
          <t>PLO–Courses Matrix</t>
        </is>
      </c>
      <c r="D30" s="2" t="inlineStr">
        <is>
          <t>عضو فريق P2 رقم 1</t>
        </is>
      </c>
      <c r="E30" s="2" t="inlineStr">
        <is>
          <t>منسق المعيار ووحدة ضمان الجودة</t>
        </is>
      </c>
      <c r="F30" s="2" t="inlineStr">
        <is>
          <t>المجلس الحاكم المختص</t>
        </is>
      </c>
      <c r="G30" s="2" t="inlineStr">
        <is>
          <t>لم تبدأ</t>
        </is>
      </c>
      <c r="H30" s="2" t="n">
        <v>0</v>
      </c>
      <c r="I30" s="2" t="inlineStr">
        <is>
          <t>مرتفعة</t>
        </is>
      </c>
      <c r="J30" s="2" t="inlineStr">
        <is>
          <t>غير محدد</t>
        </is>
      </c>
      <c r="K30" s="2" t="inlineStr">
        <is>
          <t>وثيقة تنفيذ، محضر مراجعة، قرار اعتماد، رابط النسخة النهائية</t>
        </is>
      </c>
      <c r="L30" s="2" t="inlineStr">
        <is>
          <t>استكمال التنفيذ والأدلة والمراجعة والاعتماد والفهرسة.</t>
        </is>
      </c>
    </row>
    <row r="31">
      <c r="A31" s="2" t="inlineStr">
        <is>
          <t>P2.6-T03</t>
        </is>
      </c>
      <c r="B31" s="2" t="inlineStr">
        <is>
          <t>P2.6</t>
        </is>
      </c>
      <c r="C31" s="2" t="inlineStr">
        <is>
          <t>مصفوفة الاختياري</t>
        </is>
      </c>
      <c r="D31" s="2" t="inlineStr">
        <is>
          <t>عضو فريق P2 رقم 2</t>
        </is>
      </c>
      <c r="E31" s="2" t="inlineStr">
        <is>
          <t>منسق المعيار ووحدة ضمان الجودة</t>
        </is>
      </c>
      <c r="F31" s="2" t="inlineStr">
        <is>
          <t>المجلس الحاكم المختص</t>
        </is>
      </c>
      <c r="G31" s="2" t="inlineStr">
        <is>
          <t>لم تبدأ</t>
        </is>
      </c>
      <c r="H31" s="2" t="n">
        <v>0</v>
      </c>
      <c r="I31" s="2" t="inlineStr">
        <is>
          <t>مرتفعة</t>
        </is>
      </c>
      <c r="J31" s="2" t="inlineStr">
        <is>
          <t>غير محدد</t>
        </is>
      </c>
      <c r="K31" s="2" t="inlineStr">
        <is>
          <t>وثيقة تنفيذ، محضر مراجعة، قرار اعتماد، رابط النسخة النهائية</t>
        </is>
      </c>
      <c r="L31" s="2" t="inlineStr">
        <is>
          <t>استكمال التنفيذ والأدلة والمراجعة والاعتماد والفهرسة.</t>
        </is>
      </c>
    </row>
    <row r="32">
      <c r="A32" s="2" t="inlineStr">
        <is>
          <t>P2.6-T04</t>
        </is>
      </c>
      <c r="B32" s="2" t="inlineStr">
        <is>
          <t>P2.6</t>
        </is>
      </c>
      <c r="C32" s="2" t="inlineStr">
        <is>
          <t>مصفوفة التعليم</t>
        </is>
      </c>
      <c r="D32" s="2" t="inlineStr">
        <is>
          <t>عضو فريق P2 رقم 3</t>
        </is>
      </c>
      <c r="E32" s="2" t="inlineStr">
        <is>
          <t>منسق المعيار ووحدة ضمان الجودة</t>
        </is>
      </c>
      <c r="F32" s="2" t="inlineStr">
        <is>
          <t>المجلس الحاكم المختص</t>
        </is>
      </c>
      <c r="G32" s="2" t="inlineStr">
        <is>
          <t>لم تبدأ</t>
        </is>
      </c>
      <c r="H32" s="2" t="n">
        <v>0</v>
      </c>
      <c r="I32" s="2" t="inlineStr">
        <is>
          <t>مرتفعة</t>
        </is>
      </c>
      <c r="J32" s="2" t="inlineStr">
        <is>
          <t>غير محدد</t>
        </is>
      </c>
      <c r="K32" s="2" t="inlineStr">
        <is>
          <t>وثيقة تنفيذ، محضر مراجعة، قرار اعتماد، رابط النسخة النهائية</t>
        </is>
      </c>
      <c r="L32" s="2" t="inlineStr">
        <is>
          <t>استكمال التنفيذ والأدلة والمراجعة والاعتماد والفهرسة.</t>
        </is>
      </c>
    </row>
    <row r="33">
      <c r="A33" s="2" t="inlineStr">
        <is>
          <t>P2.6-T05</t>
        </is>
      </c>
      <c r="B33" s="2" t="inlineStr">
        <is>
          <t>P2.6</t>
        </is>
      </c>
      <c r="C33" s="2" t="inlineStr">
        <is>
          <t>مصفوفة التقييم</t>
        </is>
      </c>
      <c r="D33" s="2" t="inlineStr">
        <is>
          <t>عضو فريق P2 رقم 4</t>
        </is>
      </c>
      <c r="E33" s="2" t="inlineStr">
        <is>
          <t>منسق المعيار ووحدة ضمان الجودة</t>
        </is>
      </c>
      <c r="F33" s="2" t="inlineStr">
        <is>
          <t>المجلس الحاكم المختص</t>
        </is>
      </c>
      <c r="G33" s="2" t="inlineStr">
        <is>
          <t>لم تبدأ</t>
        </is>
      </c>
      <c r="H33" s="2" t="n">
        <v>0</v>
      </c>
      <c r="I33" s="2" t="inlineStr">
        <is>
          <t>مرتفعة</t>
        </is>
      </c>
      <c r="J33" s="2" t="inlineStr">
        <is>
          <t>غير محدد</t>
        </is>
      </c>
      <c r="K33" s="2" t="inlineStr">
        <is>
          <t>وثيقة تنفيذ، محضر مراجعة، قرار اعتماد، رابط النسخة النهائية</t>
        </is>
      </c>
      <c r="L33" s="2" t="inlineStr">
        <is>
          <t>استكمال التنفيذ والأدلة والمراجعة والاعتماد والفهرسة.</t>
        </is>
      </c>
    </row>
    <row r="34">
      <c r="A34" s="2" t="inlineStr">
        <is>
          <t>P2.6-T06</t>
        </is>
      </c>
      <c r="B34" s="2" t="inlineStr">
        <is>
          <t>P2.6</t>
        </is>
      </c>
      <c r="C34" s="2" t="inlineStr">
        <is>
          <t>تحليل الفجوات</t>
        </is>
      </c>
      <c r="D34" s="2" t="inlineStr">
        <is>
          <t>عضو فريق P2 رقم 1</t>
        </is>
      </c>
      <c r="E34" s="2" t="inlineStr">
        <is>
          <t>منسق المعيار ووحدة ضمان الجودة</t>
        </is>
      </c>
      <c r="F34" s="2" t="inlineStr">
        <is>
          <t>المجلس الحاكم المختص</t>
        </is>
      </c>
      <c r="G34" s="2" t="inlineStr">
        <is>
          <t>لم تبدأ</t>
        </is>
      </c>
      <c r="H34" s="2" t="n">
        <v>0</v>
      </c>
      <c r="I34" s="2" t="inlineStr">
        <is>
          <t>مرتفعة</t>
        </is>
      </c>
      <c r="J34" s="2" t="inlineStr">
        <is>
          <t>غير محدد</t>
        </is>
      </c>
      <c r="K34" s="2" t="inlineStr">
        <is>
          <t>وثيقة تنفيذ، محضر مراجعة، قرار اعتماد، رابط النسخة النهائية</t>
        </is>
      </c>
      <c r="L34" s="2" t="inlineStr">
        <is>
          <t>استكمال التنفيذ والأدلة والمراجعة والاعتماد والفهرسة.</t>
        </is>
      </c>
    </row>
    <row r="35">
      <c r="A35" s="2" t="inlineStr">
        <is>
          <t>P2.7-T01</t>
        </is>
      </c>
      <c r="B35" s="2" t="inlineStr">
        <is>
          <t>P2.7</t>
        </is>
      </c>
      <c r="C35" s="2" t="inlineStr">
        <is>
          <t>حصر المقررات</t>
        </is>
      </c>
      <c r="D35" s="2" t="inlineStr">
        <is>
          <t>عضو فريق P2 رقم 2</t>
        </is>
      </c>
      <c r="E35" s="2" t="inlineStr">
        <is>
          <t>منسق المعيار ووحدة ضمان الجودة</t>
        </is>
      </c>
      <c r="F35" s="2" t="inlineStr">
        <is>
          <t>المجلس الحاكم المختص</t>
        </is>
      </c>
      <c r="G35" s="2" t="inlineStr">
        <is>
          <t>لم تبدأ</t>
        </is>
      </c>
      <c r="H35" s="2" t="n">
        <v>0</v>
      </c>
      <c r="I35" s="2" t="inlineStr">
        <is>
          <t>مرتفعة</t>
        </is>
      </c>
      <c r="J35" s="2" t="inlineStr">
        <is>
          <t>غير محدد</t>
        </is>
      </c>
      <c r="K35" s="2" t="inlineStr">
        <is>
          <t>وثيقة تنفيذ، محضر مراجعة، قرار اعتماد، رابط النسخة النهائية</t>
        </is>
      </c>
      <c r="L35" s="2" t="inlineStr">
        <is>
          <t>استكمال التنفيذ والأدلة والمراجعة والاعتماد والفهرسة.</t>
        </is>
      </c>
    </row>
    <row r="36">
      <c r="A36" s="2" t="inlineStr">
        <is>
          <t>P2.7-T02</t>
        </is>
      </c>
      <c r="B36" s="2" t="inlineStr">
        <is>
          <t>P2.7</t>
        </is>
      </c>
      <c r="C36" s="2" t="inlineStr">
        <is>
          <t>استكمال التوصيفات</t>
        </is>
      </c>
      <c r="D36" s="2" t="inlineStr">
        <is>
          <t>عضو فريق P2 رقم 3</t>
        </is>
      </c>
      <c r="E36" s="2" t="inlineStr">
        <is>
          <t>منسق المعيار ووحدة ضمان الجودة</t>
        </is>
      </c>
      <c r="F36" s="2" t="inlineStr">
        <is>
          <t>المجلس الحاكم المختص</t>
        </is>
      </c>
      <c r="G36" s="2" t="inlineStr">
        <is>
          <t>لم تبدأ</t>
        </is>
      </c>
      <c r="H36" s="2" t="n">
        <v>0</v>
      </c>
      <c r="I36" s="2" t="inlineStr">
        <is>
          <t>مرتفعة</t>
        </is>
      </c>
      <c r="J36" s="2" t="inlineStr">
        <is>
          <t>غير محدد</t>
        </is>
      </c>
      <c r="K36" s="2" t="inlineStr">
        <is>
          <t>وثيقة تنفيذ، محضر مراجعة، قرار اعتماد، رابط النسخة النهائية</t>
        </is>
      </c>
      <c r="L36" s="2" t="inlineStr">
        <is>
          <t>استكمال التنفيذ والأدلة والمراجعة والاعتماد والفهرسة.</t>
        </is>
      </c>
    </row>
    <row r="37">
      <c r="A37" s="2" t="inlineStr">
        <is>
          <t>P2.7-T03</t>
        </is>
      </c>
      <c r="B37" s="2" t="inlineStr">
        <is>
          <t>P2.7</t>
        </is>
      </c>
      <c r="C37" s="2" t="inlineStr">
        <is>
          <t>مطابقة اللائحة</t>
        </is>
      </c>
      <c r="D37" s="2" t="inlineStr">
        <is>
          <t>عضو فريق P2 رقم 4</t>
        </is>
      </c>
      <c r="E37" s="2" t="inlineStr">
        <is>
          <t>منسق المعيار ووحدة ضمان الجودة</t>
        </is>
      </c>
      <c r="F37" s="2" t="inlineStr">
        <is>
          <t>المجلس الحاكم المختص</t>
        </is>
      </c>
      <c r="G37" s="2" t="inlineStr">
        <is>
          <t>لم تبدأ</t>
        </is>
      </c>
      <c r="H37" s="2" t="n">
        <v>0</v>
      </c>
      <c r="I37" s="2" t="inlineStr">
        <is>
          <t>مرتفعة</t>
        </is>
      </c>
      <c r="J37" s="2" t="inlineStr">
        <is>
          <t>غير محدد</t>
        </is>
      </c>
      <c r="K37" s="2" t="inlineStr">
        <is>
          <t>وثيقة تنفيذ، محضر مراجعة، قرار اعتماد، رابط النسخة النهائية</t>
        </is>
      </c>
      <c r="L37" s="2" t="inlineStr">
        <is>
          <t>استكمال التنفيذ والأدلة والمراجعة والاعتماد والفهرسة.</t>
        </is>
      </c>
    </row>
    <row r="38">
      <c r="A38" s="2" t="inlineStr">
        <is>
          <t>P2.7-T04</t>
        </is>
      </c>
      <c r="B38" s="2" t="inlineStr">
        <is>
          <t>P2.7</t>
        </is>
      </c>
      <c r="C38" s="2" t="inlineStr">
        <is>
          <t>مراجعة النواتج والتقييم</t>
        </is>
      </c>
      <c r="D38" s="2" t="inlineStr">
        <is>
          <t>عضو فريق P2 رقم 1</t>
        </is>
      </c>
      <c r="E38" s="2" t="inlineStr">
        <is>
          <t>منسق المعيار ووحدة ضمان الجودة</t>
        </is>
      </c>
      <c r="F38" s="2" t="inlineStr">
        <is>
          <t>المجلس الحاكم المختص</t>
        </is>
      </c>
      <c r="G38" s="2" t="inlineStr">
        <is>
          <t>لم تبدأ</t>
        </is>
      </c>
      <c r="H38" s="2" t="n">
        <v>0</v>
      </c>
      <c r="I38" s="2" t="inlineStr">
        <is>
          <t>مرتفعة</t>
        </is>
      </c>
      <c r="J38" s="2" t="inlineStr">
        <is>
          <t>غير محدد</t>
        </is>
      </c>
      <c r="K38" s="2" t="inlineStr">
        <is>
          <t>وثيقة تنفيذ، محضر مراجعة، قرار اعتماد، رابط النسخة النهائية</t>
        </is>
      </c>
      <c r="L38" s="2" t="inlineStr">
        <is>
          <t>استكمال التنفيذ والأدلة والمراجعة والاعتماد والفهرسة.</t>
        </is>
      </c>
    </row>
    <row r="39">
      <c r="A39" s="2" t="inlineStr">
        <is>
          <t>P2.7-T05</t>
        </is>
      </c>
      <c r="B39" s="2" t="inlineStr">
        <is>
          <t>P2.7</t>
        </is>
      </c>
      <c r="C39" s="2" t="inlineStr">
        <is>
          <t>الاعتماد والإعلان</t>
        </is>
      </c>
      <c r="D39" s="2" t="inlineStr">
        <is>
          <t>عضو فريق P2 رقم 2</t>
        </is>
      </c>
      <c r="E39" s="2" t="inlineStr">
        <is>
          <t>منسق المعيار ووحدة ضمان الجودة</t>
        </is>
      </c>
      <c r="F39" s="2" t="inlineStr">
        <is>
          <t>المجلس الحاكم المختص</t>
        </is>
      </c>
      <c r="G39" s="2" t="inlineStr">
        <is>
          <t>لم تبدأ</t>
        </is>
      </c>
      <c r="H39" s="2" t="n">
        <v>0</v>
      </c>
      <c r="I39" s="2" t="inlineStr">
        <is>
          <t>مرتفعة</t>
        </is>
      </c>
      <c r="J39" s="2" t="inlineStr">
        <is>
          <t>غير محدد</t>
        </is>
      </c>
      <c r="K39" s="2" t="inlineStr">
        <is>
          <t>وثيقة تنفيذ، محضر مراجعة، قرار اعتماد، رابط النسخة النهائية</t>
        </is>
      </c>
      <c r="L39" s="2" t="inlineStr">
        <is>
          <t>استكمال التنفيذ والأدلة والمراجعة والاعتماد والفهرسة.</t>
        </is>
      </c>
    </row>
    <row r="40">
      <c r="A40" s="2" t="inlineStr">
        <is>
          <t>P2.8-T01</t>
        </is>
      </c>
      <c r="B40" s="2" t="inlineStr">
        <is>
          <t>P2.8</t>
        </is>
      </c>
      <c r="C40" s="2" t="inlineStr">
        <is>
          <t>تحديد الأطراف</t>
        </is>
      </c>
      <c r="D40" s="2" t="inlineStr">
        <is>
          <t>عضو فريق P2 رقم 3</t>
        </is>
      </c>
      <c r="E40" s="2" t="inlineStr">
        <is>
          <t>منسق المعيار ووحدة ضمان الجودة</t>
        </is>
      </c>
      <c r="F40" s="2" t="inlineStr">
        <is>
          <t>المجلس الحاكم المختص</t>
        </is>
      </c>
      <c r="G40" s="2" t="inlineStr">
        <is>
          <t>لم تبدأ</t>
        </is>
      </c>
      <c r="H40" s="2" t="n">
        <v>0</v>
      </c>
      <c r="I40" s="2" t="inlineStr">
        <is>
          <t>مرتفعة</t>
        </is>
      </c>
      <c r="J40" s="2" t="inlineStr">
        <is>
          <t>غير محدد</t>
        </is>
      </c>
      <c r="K40" s="2" t="inlineStr">
        <is>
          <t>وثيقة تنفيذ، محضر مراجعة، قرار اعتماد، رابط النسخة النهائية</t>
        </is>
      </c>
      <c r="L40" s="2" t="inlineStr">
        <is>
          <t>استكمال التنفيذ والأدلة والمراجعة والاعتماد والفهرسة.</t>
        </is>
      </c>
    </row>
    <row r="41">
      <c r="A41" s="2" t="inlineStr">
        <is>
          <t>P2.8-T02</t>
        </is>
      </c>
      <c r="B41" s="2" t="inlineStr">
        <is>
          <t>P2.8</t>
        </is>
      </c>
      <c r="C41" s="2" t="inlineStr">
        <is>
          <t>تحليل آراء الطلاب والخريجين</t>
        </is>
      </c>
      <c r="D41" s="2" t="inlineStr">
        <is>
          <t>عضو فريق P2 رقم 4</t>
        </is>
      </c>
      <c r="E41" s="2" t="inlineStr">
        <is>
          <t>منسق المعيار ووحدة ضمان الجودة</t>
        </is>
      </c>
      <c r="F41" s="2" t="inlineStr">
        <is>
          <t>المجلس الحاكم المختص</t>
        </is>
      </c>
      <c r="G41" s="2" t="inlineStr">
        <is>
          <t>لم تبدأ</t>
        </is>
      </c>
      <c r="H41" s="2" t="n">
        <v>0</v>
      </c>
      <c r="I41" s="2" t="inlineStr">
        <is>
          <t>مرتفعة</t>
        </is>
      </c>
      <c r="J41" s="2" t="inlineStr">
        <is>
          <t>غير محدد</t>
        </is>
      </c>
      <c r="K41" s="2" t="inlineStr">
        <is>
          <t>وثيقة تنفيذ، محضر مراجعة، قرار اعتماد، رابط النسخة النهائية</t>
        </is>
      </c>
      <c r="L41" s="2" t="inlineStr">
        <is>
          <t>استكمال التنفيذ والأدلة والمراجعة والاعتماد والفهرسة.</t>
        </is>
      </c>
    </row>
    <row r="42">
      <c r="A42" s="2" t="inlineStr">
        <is>
          <t>P2.8-T03</t>
        </is>
      </c>
      <c r="B42" s="2" t="inlineStr">
        <is>
          <t>P2.8</t>
        </is>
      </c>
      <c r="C42" s="2" t="inlineStr">
        <is>
          <t>تحليل جهات التوظيف</t>
        </is>
      </c>
      <c r="D42" s="2" t="inlineStr">
        <is>
          <t>عضو فريق P2 رقم 1</t>
        </is>
      </c>
      <c r="E42" s="2" t="inlineStr">
        <is>
          <t>منسق المعيار ووحدة ضمان الجودة</t>
        </is>
      </c>
      <c r="F42" s="2" t="inlineStr">
        <is>
          <t>المجلس الحاكم المختص</t>
        </is>
      </c>
      <c r="G42" s="2" t="inlineStr">
        <is>
          <t>لم تبدأ</t>
        </is>
      </c>
      <c r="H42" s="2" t="n">
        <v>0</v>
      </c>
      <c r="I42" s="2" t="inlineStr">
        <is>
          <t>مرتفعة</t>
        </is>
      </c>
      <c r="J42" s="2" t="inlineStr">
        <is>
          <t>غير محدد</t>
        </is>
      </c>
      <c r="K42" s="2" t="inlineStr">
        <is>
          <t>وثيقة تنفيذ، محضر مراجعة، قرار اعتماد، رابط النسخة النهائية</t>
        </is>
      </c>
      <c r="L42" s="2" t="inlineStr">
        <is>
          <t>استكمال التنفيذ والأدلة والمراجعة والاعتماد والفهرسة.</t>
        </is>
      </c>
    </row>
    <row r="43">
      <c r="A43" s="2" t="inlineStr">
        <is>
          <t>P2.8-T04</t>
        </is>
      </c>
      <c r="B43" s="2" t="inlineStr">
        <is>
          <t>P2.8</t>
        </is>
      </c>
      <c r="C43" s="2" t="inlineStr">
        <is>
          <t>مناقشة التقييم المستمر</t>
        </is>
      </c>
      <c r="D43" s="2" t="inlineStr">
        <is>
          <t>عضو فريق P2 رقم 2</t>
        </is>
      </c>
      <c r="E43" s="2" t="inlineStr">
        <is>
          <t>منسق المعيار ووحدة ضمان الجودة</t>
        </is>
      </c>
      <c r="F43" s="2" t="inlineStr">
        <is>
          <t>المجلس الحاكم المختص</t>
        </is>
      </c>
      <c r="G43" s="2" t="inlineStr">
        <is>
          <t>لم تبدأ</t>
        </is>
      </c>
      <c r="H43" s="2" t="n">
        <v>0</v>
      </c>
      <c r="I43" s="2" t="inlineStr">
        <is>
          <t>مرتفعة</t>
        </is>
      </c>
      <c r="J43" s="2" t="inlineStr">
        <is>
          <t>غير محدد</t>
        </is>
      </c>
      <c r="K43" s="2" t="inlineStr">
        <is>
          <t>وثيقة تنفيذ، محضر مراجعة، قرار اعتماد، رابط النسخة النهائية</t>
        </is>
      </c>
      <c r="L43" s="2" t="inlineStr">
        <is>
          <t>استكمال التنفيذ والأدلة والمراجعة والاعتماد والفهرسة.</t>
        </is>
      </c>
    </row>
    <row r="44">
      <c r="A44" s="2" t="inlineStr">
        <is>
          <t>P2.8-T05</t>
        </is>
      </c>
      <c r="B44" s="2" t="inlineStr">
        <is>
          <t>P2.8</t>
        </is>
      </c>
      <c r="C44" s="2" t="inlineStr">
        <is>
          <t>اعتماد التطوير</t>
        </is>
      </c>
      <c r="D44" s="2" t="inlineStr">
        <is>
          <t>عضو فريق P2 رقم 3</t>
        </is>
      </c>
      <c r="E44" s="2" t="inlineStr">
        <is>
          <t>منسق المعيار ووحدة ضمان الجودة</t>
        </is>
      </c>
      <c r="F44" s="2" t="inlineStr">
        <is>
          <t>المجلس الحاكم المختص</t>
        </is>
      </c>
      <c r="G44" s="2" t="inlineStr">
        <is>
          <t>لم تبدأ</t>
        </is>
      </c>
      <c r="H44" s="2" t="n">
        <v>0</v>
      </c>
      <c r="I44" s="2" t="inlineStr">
        <is>
          <t>مرتفعة</t>
        </is>
      </c>
      <c r="J44" s="2" t="inlineStr">
        <is>
          <t>غير محدد</t>
        </is>
      </c>
      <c r="K44" s="2" t="inlineStr">
        <is>
          <t>وثيقة تنفيذ، محضر مراجعة، قرار اعتماد، رابط النسخة النهائية</t>
        </is>
      </c>
      <c r="L44" s="2" t="inlineStr">
        <is>
          <t>استكمال التنفيذ والأدلة والمراجعة والاعتماد والفهرسة.</t>
        </is>
      </c>
    </row>
    <row r="45">
      <c r="A45" s="2" t="inlineStr">
        <is>
          <t>P2.8-T06</t>
        </is>
      </c>
      <c r="B45" s="2" t="inlineStr">
        <is>
          <t>P2.8</t>
        </is>
      </c>
      <c r="C45" s="2" t="inlineStr">
        <is>
          <t>قياس الأثر</t>
        </is>
      </c>
      <c r="D45" s="2" t="inlineStr">
        <is>
          <t>عضو فريق P2 رقم 4</t>
        </is>
      </c>
      <c r="E45" s="2" t="inlineStr">
        <is>
          <t>منسق المعيار ووحدة ضمان الجودة</t>
        </is>
      </c>
      <c r="F45" s="2" t="inlineStr">
        <is>
          <t>المجلس الحاكم المختص</t>
        </is>
      </c>
      <c r="G45" s="2" t="inlineStr">
        <is>
          <t>لم تبدأ</t>
        </is>
      </c>
      <c r="H45" s="2" t="n">
        <v>0</v>
      </c>
      <c r="I45" s="2" t="inlineStr">
        <is>
          <t>مرتفعة</t>
        </is>
      </c>
      <c r="J45" s="2" t="inlineStr">
        <is>
          <t>غير محدد</t>
        </is>
      </c>
      <c r="K45" s="2" t="inlineStr">
        <is>
          <t>وثيقة تنفيذ، محضر مراجعة، قرار اعتماد، رابط النسخة النهائية</t>
        </is>
      </c>
      <c r="L45" s="2" t="inlineStr">
        <is>
          <t>استكمال التنفيذ والأدلة والمراجعة والاعتماد والفهرسة.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المؤشر</t>
        </is>
      </c>
      <c r="B1" s="3" t="inlineStr">
        <is>
          <t>عدد المهام</t>
        </is>
      </c>
      <c r="C1" s="3" t="inlineStr">
        <is>
          <t>متوسط الإنجاز</t>
        </is>
      </c>
    </row>
    <row r="2">
      <c r="A2" t="inlineStr">
        <is>
          <t>P2.1</t>
        </is>
      </c>
      <c r="B2">
        <f>COUNTIF('Master Tracker'!B:B,"P2.1")</f>
        <v/>
      </c>
      <c r="C2" s="4">
        <f>IFERROR(AVERAGEIF('Master Tracker'!B:B,"P2.1",'Master Tracker'!H:H),0)</f>
        <v/>
      </c>
    </row>
    <row r="3">
      <c r="A3" t="inlineStr">
        <is>
          <t>P2.2</t>
        </is>
      </c>
      <c r="B3">
        <f>COUNTIF('Master Tracker'!B:B,"P2.2")</f>
        <v/>
      </c>
      <c r="C3" s="4">
        <f>IFERROR(AVERAGEIF('Master Tracker'!B:B,"P2.2",'Master Tracker'!H:H),0)</f>
        <v/>
      </c>
    </row>
    <row r="4">
      <c r="A4" t="inlineStr">
        <is>
          <t>P2.3</t>
        </is>
      </c>
      <c r="B4">
        <f>COUNTIF('Master Tracker'!B:B,"P2.3")</f>
        <v/>
      </c>
      <c r="C4" s="4">
        <f>IFERROR(AVERAGEIF('Master Tracker'!B:B,"P2.3",'Master Tracker'!H:H),0)</f>
        <v/>
      </c>
    </row>
    <row r="5">
      <c r="A5" t="inlineStr">
        <is>
          <t>P2.4</t>
        </is>
      </c>
      <c r="B5">
        <f>COUNTIF('Master Tracker'!B:B,"P2.4")</f>
        <v/>
      </c>
      <c r="C5" s="4">
        <f>IFERROR(AVERAGEIF('Master Tracker'!B:B,"P2.4",'Master Tracker'!H:H),0)</f>
        <v/>
      </c>
    </row>
    <row r="6">
      <c r="A6" t="inlineStr">
        <is>
          <t>P2.5</t>
        </is>
      </c>
      <c r="B6">
        <f>COUNTIF('Master Tracker'!B:B,"P2.5")</f>
        <v/>
      </c>
      <c r="C6" s="4">
        <f>IFERROR(AVERAGEIF('Master Tracker'!B:B,"P2.5",'Master Tracker'!H:H),0)</f>
        <v/>
      </c>
    </row>
    <row r="7">
      <c r="A7" t="inlineStr">
        <is>
          <t>P2.6</t>
        </is>
      </c>
      <c r="B7">
        <f>COUNTIF('Master Tracker'!B:B,"P2.6")</f>
        <v/>
      </c>
      <c r="C7" s="4">
        <f>IFERROR(AVERAGEIF('Master Tracker'!B:B,"P2.6",'Master Tracker'!H:H),0)</f>
        <v/>
      </c>
    </row>
    <row r="8">
      <c r="A8" t="inlineStr">
        <is>
          <t>P2.7</t>
        </is>
      </c>
      <c r="B8">
        <f>COUNTIF('Master Tracker'!B:B,"P2.7")</f>
        <v/>
      </c>
      <c r="C8" s="4">
        <f>IFERROR(AVERAGEIF('Master Tracker'!B:B,"P2.7",'Master Tracker'!H:H),0)</f>
        <v/>
      </c>
    </row>
    <row r="9">
      <c r="A9" t="inlineStr">
        <is>
          <t>P2.8</t>
        </is>
      </c>
      <c r="B9">
        <f>COUNTIF('Master Tracker'!B:B,"P2.8")</f>
        <v/>
      </c>
      <c r="C9" s="4">
        <f>IFERROR(AVERAGEIF('Master Tracker'!B:B,"P2.8",'Master Tracker'!H:H),0)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الكود</t>
        </is>
      </c>
      <c r="B1" s="3" t="inlineStr">
        <is>
          <t>Task ID</t>
        </is>
      </c>
      <c r="C1" s="3" t="inlineStr">
        <is>
          <t>الدليل</t>
        </is>
      </c>
      <c r="D1" s="3" t="inlineStr">
        <is>
          <t>الحالة</t>
        </is>
      </c>
      <c r="E1" s="3" t="inlineStr">
        <is>
          <t>الرابط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الكود</t>
        </is>
      </c>
      <c r="B1" s="3" t="inlineStr">
        <is>
          <t>Task ID</t>
        </is>
      </c>
      <c r="C1" s="3" t="inlineStr">
        <is>
          <t>الفجوة</t>
        </is>
      </c>
      <c r="D1" s="3" t="inlineStr">
        <is>
          <t>الإجراء</t>
        </is>
      </c>
      <c r="E1" s="3" t="inlineStr">
        <is>
          <t>الحالة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التاريخ</t>
        </is>
      </c>
      <c r="B1" s="3" t="inlineStr">
        <is>
          <t>القرارات</t>
        </is>
      </c>
      <c r="C1" s="3" t="inlineStr">
        <is>
          <t>المسؤول</t>
        </is>
      </c>
      <c r="D1" s="3" t="inlineStr">
        <is>
          <t>الحالة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الكود</t>
        </is>
      </c>
      <c r="B1" s="3" t="inlineStr">
        <is>
          <t>الاسم</t>
        </is>
      </c>
      <c r="C1" s="3" t="inlineStr">
        <is>
          <t>الدور</t>
        </is>
      </c>
    </row>
    <row r="2">
      <c r="A2" t="inlineStr">
        <is>
          <t>P1</t>
        </is>
      </c>
      <c r="B2" t="inlineStr">
        <is>
          <t>عضو فريق P2 رقم 1</t>
        </is>
      </c>
      <c r="C2" t="inlineStr">
        <is>
          <t>عضو فريق تصميم البرنامج</t>
        </is>
      </c>
    </row>
    <row r="3">
      <c r="A3" t="inlineStr">
        <is>
          <t>P2</t>
        </is>
      </c>
      <c r="B3" t="inlineStr">
        <is>
          <t>عضو فريق P2 رقم 2</t>
        </is>
      </c>
      <c r="C3" t="inlineStr">
        <is>
          <t>عضو فريق تصميم البرنامج</t>
        </is>
      </c>
    </row>
    <row r="4">
      <c r="A4" t="inlineStr">
        <is>
          <t>P3</t>
        </is>
      </c>
      <c r="B4" t="inlineStr">
        <is>
          <t>عضو فريق P2 رقم 3</t>
        </is>
      </c>
      <c r="C4" t="inlineStr">
        <is>
          <t>عضو فريق تصميم البرنامج</t>
        </is>
      </c>
    </row>
    <row r="5">
      <c r="A5" t="inlineStr">
        <is>
          <t>P4</t>
        </is>
      </c>
      <c r="B5" t="inlineStr">
        <is>
          <t>عضو فريق P2 رقم 4</t>
        </is>
      </c>
      <c r="C5" t="inlineStr">
        <is>
          <t>عضو فريق تصميم البرنامج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2026-10-19T07:14:15Z</dcterms:created>
  <dcterms:modified xmlns:dcterms="http://purl.org/dc/terms/" xmlns:xsi="http://www.w3.org/2001/XMLSchema-instance" xsi:type="dcterms:W3CDTF">2026-10-19T07:14:15Z</dcterms:modified>
</cp:coreProperties>
</file>