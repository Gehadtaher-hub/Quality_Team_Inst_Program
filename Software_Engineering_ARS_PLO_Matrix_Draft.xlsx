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_to_PLO" sheetId="1" state="visible" r:id="rId1"/>
    <sheet xmlns:r="http://schemas.openxmlformats.org/officeDocument/2006/relationships" name="PLO_Register" sheetId="2" state="visible" r:id="rId2"/>
    <sheet xmlns:r="http://schemas.openxmlformats.org/officeDocument/2006/relationships" name="Coverage_M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Instruction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B1" authorId="0" shapeId="0">
      <text>
        <t>ARS statements carried forward from the Software Engineering ARS working set used in the NARS–ARS consistency matrix. These statements require institutional review and approval.</t>
      </text>
    </comment>
  </commentList>
</comments>
</file>

<file path=xl/tables/table1.xml><?xml version="1.0" encoding="utf-8"?>
<table xmlns="http://schemas.openxmlformats.org/spreadsheetml/2006/main" id="1" name="ARSPLOMatrix" displayName="ARSPLOMatrix" ref="A1:I35" headerRowCount="1">
  <autoFilter ref="A1:I35"/>
  <tableColumns count="9">
    <tableColumn id="1" name="ARS Code"/>
    <tableColumn id="2" name="ARS Statement"/>
    <tableColumn id="3" name="Mapped PLO Code(s)"/>
    <tableColumn id="4" name="Mapped PLO Statement(s)"/>
    <tableColumn id="5" name="Alignment Level"/>
    <tableColumn id="6" name="Coverage %"/>
    <tableColumn id="7" name="Rationale"/>
    <tableColumn id="8" name="Gap / Review Note"/>
    <tableColumn id="9" name="Required Ac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LORegister" displayName="PLORegister" ref="A1:E13" headerRowCount="1">
  <autoFilter ref="A1:E13"/>
  <tableColumns count="5">
    <tableColumn id="1" name="PLO Code"/>
    <tableColumn id="2" name="Proposed Program Learning Outcome"/>
    <tableColumn id="3" name="Domain"/>
    <tableColumn id="4" name="Approval Status"/>
    <tableColumn id="5" name="Review 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25" customWidth="1" min="3" max="3"/>
    <col width="75" customWidth="1" min="4" max="4"/>
    <col width="16" customWidth="1" min="5" max="5"/>
    <col width="13" customWidth="1" min="6" max="6"/>
    <col width="50" customWidth="1" min="7" max="7"/>
    <col width="45" customWidth="1" min="8" max="8"/>
    <col width="30" customWidth="1" min="9" max="9"/>
  </cols>
  <sheetData>
    <row r="1">
      <c r="A1" s="1" t="inlineStr">
        <is>
          <t>ARS Code</t>
        </is>
      </c>
      <c r="B1" s="1" t="inlineStr">
        <is>
          <t>ARS Statement</t>
        </is>
      </c>
      <c r="C1" s="1" t="inlineStr">
        <is>
          <t>Mapped PLO Code(s)</t>
        </is>
      </c>
      <c r="D1" s="1" t="inlineStr">
        <is>
          <t>Mapped PLO Statement(s)</t>
        </is>
      </c>
      <c r="E1" s="1" t="inlineStr">
        <is>
          <t>Alignment Level</t>
        </is>
      </c>
      <c r="F1" s="1" t="inlineStr">
        <is>
          <t>Coverage %</t>
        </is>
      </c>
      <c r="G1" s="1" t="inlineStr">
        <is>
          <t>Rationale</t>
        </is>
      </c>
      <c r="H1" s="1" t="inlineStr">
        <is>
          <t>Gap / Review Note</t>
        </is>
      </c>
      <c r="I1" s="1" t="inlineStr">
        <is>
          <t>Required Action</t>
        </is>
      </c>
    </row>
    <row r="2" ht="72" customHeight="1">
      <c r="A2" s="2" t="inlineStr">
        <is>
          <t>ARS-K1</t>
        </is>
      </c>
      <c r="B2" s="3" t="inlineStr">
        <is>
          <t>Explain mathematical, statistical, logical, algorithmic, and engineering foundations relevant to software systems.</t>
        </is>
      </c>
      <c r="C2" s="4" t="inlineStr">
        <is>
          <t>PLO1</t>
        </is>
      </c>
      <c r="D2" s="3" t="inlineStr">
        <is>
          <t>PLO1: Apply mathematics, statistics, computing foundations, and engineering principles to solve software engineering problems.</t>
        </is>
      </c>
      <c r="E2" s="3" t="inlineStr">
        <is>
          <t>Full</t>
        </is>
      </c>
      <c r="F2" s="5" t="n">
        <v>1</v>
      </c>
      <c r="G2" s="3" t="inlineStr">
        <is>
          <t>Direct alignment: the mapped PLO outcome(s) operationalize the knowledge, intellectual, professional, or transferable capability stated in the ARS.</t>
        </is>
      </c>
      <c r="H2" s="3" t="inlineStr">
        <is>
          <t>Proposed analytical mapping. Confirm against the formally approved PLO wording and institutional coding.</t>
        </is>
      </c>
      <c r="I2" s="3" t="inlineStr">
        <is>
          <t>Committee review and approval</t>
        </is>
      </c>
    </row>
    <row r="3" ht="72" customHeight="1">
      <c r="A3" s="2" t="inlineStr">
        <is>
          <t>ARS-K2</t>
        </is>
      </c>
      <c r="B3" s="3" t="inlineStr">
        <is>
          <t>Explain programming paradigms, languages, data structures, algorithms, databases, operating systems, networks, distributed systems, cloud platforms, and human-computer interaction.</t>
        </is>
      </c>
      <c r="C3" s="4" t="inlineStr">
        <is>
          <t>PLO1, PLO4</t>
        </is>
      </c>
      <c r="D3" s="3" t="inlineStr">
        <is>
          <t>PLO1: Apply mathematics, statistics, computing foundations, and engineering principles to solve software engineering problems.
PLO4: Construct, integrate, configure, deploy, and maintain reliable software systems using appropriate languages, platforms, tools, and DevOps practices.</t>
        </is>
      </c>
      <c r="E3" s="3" t="inlineStr">
        <is>
          <t>Full</t>
        </is>
      </c>
      <c r="F3" s="5" t="n">
        <v>1</v>
      </c>
      <c r="G3" s="3" t="inlineStr">
        <is>
          <t>Direct alignment: the mapped PLO outcome(s) operationalize the knowledge, intellectual, professional, or transferable capability stated in the ARS.</t>
        </is>
      </c>
      <c r="H3" s="3" t="inlineStr">
        <is>
          <t>Proposed analytical mapping. Confirm against the formally approved PLO wording and institutional coding.</t>
        </is>
      </c>
      <c r="I3" s="3" t="inlineStr">
        <is>
          <t>Committee review and approval</t>
        </is>
      </c>
    </row>
    <row r="4" ht="72" customHeight="1">
      <c r="A4" s="2" t="inlineStr">
        <is>
          <t>ARS-K3</t>
        </is>
      </c>
      <c r="B4" s="3" t="inlineStr">
        <is>
          <t>Explain software life-cycle models, engineering processes, agile methods, DevOps principles, standards, and supporting tools.</t>
        </is>
      </c>
      <c r="C4" s="4" t="inlineStr">
        <is>
          <t>PLO4, PLO6</t>
        </is>
      </c>
      <c r="D4" s="3" t="inlineStr">
        <is>
          <t>PLO4: Construct, integrate, configure, deploy, and maintain reliable software systems using appropriate languages, platforms, tools, and DevOps practices.
PLO6: Manage software projects, processes, resources, risks, change, configuration, and technical debt throughout the software life cycle.</t>
        </is>
      </c>
      <c r="E4" s="3" t="inlineStr">
        <is>
          <t>Full</t>
        </is>
      </c>
      <c r="F4" s="5" t="n">
        <v>1</v>
      </c>
      <c r="G4" s="3" t="inlineStr">
        <is>
          <t>Direct alignment: the mapped PLO outcome(s) operationalize the knowledge, intellectual, professional, or transferable capability stated in the ARS.</t>
        </is>
      </c>
      <c r="H4" s="3" t="inlineStr">
        <is>
          <t>Proposed analytical mapping. Confirm against the formally approved PLO wording and institutional coding.</t>
        </is>
      </c>
      <c r="I4" s="3" t="inlineStr">
        <is>
          <t>Committee review and approval</t>
        </is>
      </c>
    </row>
    <row r="5" ht="72" customHeight="1">
      <c r="A5" s="2" t="inlineStr">
        <is>
          <t>ARS-K4</t>
        </is>
      </c>
      <c r="B5" s="3" t="inlineStr">
        <is>
          <t>Explain requirements engineering concepts, elicitation, analysis, specification, validation, prioritization, traceability, and change management.</t>
        </is>
      </c>
      <c r="C5" s="4" t="inlineStr">
        <is>
          <t>PLO2</t>
        </is>
      </c>
      <c r="D5" s="3" t="inlineStr">
        <is>
          <t>PLO2: Analyze complex software problems and derive complete, consistent, prioritized, and traceable requirements.</t>
        </is>
      </c>
      <c r="E5" s="3" t="inlineStr">
        <is>
          <t>Full</t>
        </is>
      </c>
      <c r="F5" s="5" t="n">
        <v>1</v>
      </c>
      <c r="G5" s="3" t="inlineStr">
        <is>
          <t>Direct alignment: the mapped PLO outcome(s) operationalize the knowledge, intellectual, professional, or transferable capability stated in the ARS.</t>
        </is>
      </c>
      <c r="H5" s="3" t="inlineStr">
        <is>
          <t>Proposed analytical mapping. Confirm against the formally approved PLO wording and institutional coding.</t>
        </is>
      </c>
      <c r="I5" s="3" t="inlineStr">
        <is>
          <t>Committee review and approval</t>
        </is>
      </c>
    </row>
    <row r="6" ht="72" customHeight="1">
      <c r="A6" s="2" t="inlineStr">
        <is>
          <t>ARS-K5</t>
        </is>
      </c>
      <c r="B6" s="3" t="inlineStr">
        <is>
          <t>Explain software design and architecture principles, patterns, interfaces, quality attributes, technical debt, and design trade-offs.</t>
        </is>
      </c>
      <c r="C6" s="4" t="inlineStr">
        <is>
          <t>PLO3, PLO12</t>
        </is>
      </c>
      <c r="D6" s="3" t="inlineStr">
        <is>
          <t>PLO3: Design software architectures, components, interfaces, and data solutions that satisfy functional and quality requirements under realistic constraints.
PLO12: Evaluate alternatives and make justified software engineering decisions considering quality, cost, schedule, feasibility, sustainability, and stakeholder value.</t>
        </is>
      </c>
      <c r="E6" s="3" t="inlineStr">
        <is>
          <t>Full</t>
        </is>
      </c>
      <c r="F6" s="5" t="n">
        <v>1</v>
      </c>
      <c r="G6" s="3" t="inlineStr">
        <is>
          <t>Direct alignment: the mapped PLO outcome(s) operationalize the knowledge, intellectual, professional, or transferable capability stated in the ARS.</t>
        </is>
      </c>
      <c r="H6" s="3" t="inlineStr">
        <is>
          <t>Proposed analytical mapping. Confirm against the formally approved PLO wording and institutional coding.</t>
        </is>
      </c>
      <c r="I6" s="3" t="inlineStr">
        <is>
          <t>Committee review and approval</t>
        </is>
      </c>
    </row>
    <row r="7" ht="72" customHeight="1">
      <c r="A7" s="2" t="inlineStr">
        <is>
          <t>ARS-K6</t>
        </is>
      </c>
      <c r="B7" s="3" t="inlineStr">
        <is>
          <t>Explain software construction, integration, configuration management, deployment, operation, maintenance, reuse, and evolution.</t>
        </is>
      </c>
      <c r="C7" s="4" t="inlineStr">
        <is>
          <t>PLO4, PLO6</t>
        </is>
      </c>
      <c r="D7" s="3" t="inlineStr">
        <is>
          <t>PLO4: Construct, integrate, configure, deploy, and maintain reliable software systems using appropriate languages, platforms, tools, and DevOps practices.
PLO6: Manage software projects, processes, resources, risks, change, configuration, and technical debt throughout the software life cycle.</t>
        </is>
      </c>
      <c r="E7" s="3" t="inlineStr">
        <is>
          <t>Full</t>
        </is>
      </c>
      <c r="F7" s="5" t="n">
        <v>1</v>
      </c>
      <c r="G7" s="3" t="inlineStr">
        <is>
          <t>Direct alignment: the mapped PLO outcome(s) operationalize the knowledge, intellectual, professional, or transferable capability stated in the ARS.</t>
        </is>
      </c>
      <c r="H7" s="3" t="inlineStr">
        <is>
          <t>Proposed analytical mapping. Confirm against the formally approved PLO wording and institutional coding.</t>
        </is>
      </c>
      <c r="I7" s="3" t="inlineStr">
        <is>
          <t>Committee review and approval</t>
        </is>
      </c>
    </row>
    <row r="8" ht="72" customHeight="1">
      <c r="A8" s="2" t="inlineStr">
        <is>
          <t>ARS-K7</t>
        </is>
      </c>
      <c r="B8" s="3" t="inlineStr">
        <is>
          <t>Explain verification, validation, testing levels and techniques, reviews, quality models, measurement, and process improvement.</t>
        </is>
      </c>
      <c r="C8" s="4" t="inlineStr">
        <is>
          <t>PLO5</t>
        </is>
      </c>
      <c r="D8" s="3" t="inlineStr">
        <is>
          <t>PLO5: Plan and perform verification, validation, testing, measurement, and empirical evaluation to assess software quality and support evidence-based decisions.</t>
        </is>
      </c>
      <c r="E8" s="3" t="inlineStr">
        <is>
          <t>Full</t>
        </is>
      </c>
      <c r="F8" s="5" t="n">
        <v>1</v>
      </c>
      <c r="G8" s="3" t="inlineStr">
        <is>
          <t>Direct alignment: the mapped PLO outcome(s) operationalize the knowledge, intellectual, professional, or transferable capability stated in the ARS.</t>
        </is>
      </c>
      <c r="H8" s="3" t="inlineStr">
        <is>
          <t>Proposed analytical mapping. Confirm against the formally approved PLO wording and institutional coding.</t>
        </is>
      </c>
      <c r="I8" s="3" t="inlineStr">
        <is>
          <t>Committee review and approval</t>
        </is>
      </c>
    </row>
    <row r="9" ht="72" customHeight="1">
      <c r="A9" s="2" t="inlineStr">
        <is>
          <t>ARS-K8</t>
        </is>
      </c>
      <c r="B9" s="3" t="inlineStr">
        <is>
          <t>Explain project management, estimation, scheduling, economics, governance, team organization, configuration, release, change, and risk management.</t>
        </is>
      </c>
      <c r="C9" s="4" t="inlineStr">
        <is>
          <t>PLO6, PLO12</t>
        </is>
      </c>
      <c r="D9" s="3" t="inlineStr">
        <is>
          <t>PLO6: Manage software projects, processes, resources, risks, change, configuration, and technical debt throughout the software life cycle.
PLO12: Evaluate alternatives and make justified software engineering decisions considering quality, cost, schedule, feasibility, sustainability, and stakeholder value.</t>
        </is>
      </c>
      <c r="E9" s="3" t="inlineStr">
        <is>
          <t>Full</t>
        </is>
      </c>
      <c r="F9" s="5" t="n">
        <v>1</v>
      </c>
      <c r="G9" s="3" t="inlineStr">
        <is>
          <t>Direct alignment: the mapped PLO outcome(s) operationalize the knowledge, intellectual, professional, or transferable capability stated in the ARS.</t>
        </is>
      </c>
      <c r="H9" s="3" t="inlineStr">
        <is>
          <t>Proposed analytical mapping. Confirm against the formally approved PLO wording and institutional coding.</t>
        </is>
      </c>
      <c r="I9" s="3" t="inlineStr">
        <is>
          <t>Committee review and approval</t>
        </is>
      </c>
    </row>
    <row r="10" ht="72" customHeight="1">
      <c r="A10" s="2" t="inlineStr">
        <is>
          <t>ARS-K9</t>
        </is>
      </c>
      <c r="B10" s="3" t="inlineStr">
        <is>
          <t>Explain secure development, privacy, threat modeling, reliability, availability, resilience, safety, and incident management.</t>
        </is>
      </c>
      <c r="C10" s="4" t="inlineStr">
        <is>
          <t>PLO7</t>
        </is>
      </c>
      <c r="D10" s="3" t="inlineStr">
        <is>
          <t>PLO7: Apply security, safety, privacy, resilience, and dependability principles to software systems and their operation.</t>
        </is>
      </c>
      <c r="E10" s="3" t="inlineStr">
        <is>
          <t>Full</t>
        </is>
      </c>
      <c r="F10" s="5" t="n">
        <v>1</v>
      </c>
      <c r="G10" s="3" t="inlineStr">
        <is>
          <t>Direct alignment: the mapped PLO outcome(s) operationalize the knowledge, intellectual, professional, or transferable capability stated in the ARS.</t>
        </is>
      </c>
      <c r="H10" s="3" t="inlineStr">
        <is>
          <t>Proposed analytical mapping. Confirm against the formally approved PLO wording and institutional coding.</t>
        </is>
      </c>
      <c r="I10" s="3" t="inlineStr">
        <is>
          <t>Committee review and approval</t>
        </is>
      </c>
    </row>
    <row r="11" ht="72" customHeight="1">
      <c r="A11" s="2" t="inlineStr">
        <is>
          <t>ARS-K10</t>
        </is>
      </c>
      <c r="B11" s="3" t="inlineStr">
        <is>
          <t>Explain professional ethics, law, intellectual property, research methods, accessibility, sustainability, entrepreneurship, and societal impact.</t>
        </is>
      </c>
      <c r="C11" s="4" t="inlineStr">
        <is>
          <t>PLO11</t>
        </is>
      </c>
      <c r="D11" s="3" t="inlineStr">
        <is>
          <t>PLO11: Practice software engineering in accordance with professional, legal, ethical, societal, cultural, economic, and environmental responsibilities.</t>
        </is>
      </c>
      <c r="E11" s="3" t="inlineStr">
        <is>
          <t>Full</t>
        </is>
      </c>
      <c r="F11" s="5" t="n">
        <v>1</v>
      </c>
      <c r="G11" s="3" t="inlineStr">
        <is>
          <t>Direct alignment: the mapped PLO outcome(s) operationalize the knowledge, intellectual, professional, or transferable capability stated in the ARS.</t>
        </is>
      </c>
      <c r="H11" s="3" t="inlineStr">
        <is>
          <t>Proposed analytical mapping. Confirm against the formally approved PLO wording and institutional coding.</t>
        </is>
      </c>
      <c r="I11" s="3" t="inlineStr">
        <is>
          <t>Committee review and approval</t>
        </is>
      </c>
    </row>
    <row r="12" ht="72" customHeight="1">
      <c r="A12" s="2" t="inlineStr">
        <is>
          <t>ARS-I1</t>
        </is>
      </c>
      <c r="B12" s="3" t="inlineStr">
        <is>
          <t>Formulate complex software problems by identifying stakeholders, goals, constraints, assumptions, risks, and success criteria.</t>
        </is>
      </c>
      <c r="C12" s="4" t="inlineStr">
        <is>
          <t>PLO2</t>
        </is>
      </c>
      <c r="D12" s="3" t="inlineStr">
        <is>
          <t>PLO2: Analyze complex software problems and derive complete, consistent, prioritized, and traceable requirements.</t>
        </is>
      </c>
      <c r="E12" s="3" t="inlineStr">
        <is>
          <t>Full</t>
        </is>
      </c>
      <c r="F12" s="5" t="n">
        <v>1</v>
      </c>
      <c r="G12" s="3" t="inlineStr">
        <is>
          <t>Direct alignment: the mapped PLO outcome(s) operationalize the knowledge, intellectual, professional, or transferable capability stated in the ARS.</t>
        </is>
      </c>
      <c r="H12" s="3" t="inlineStr">
        <is>
          <t>Proposed analytical mapping. Confirm against the formally approved PLO wording and institutional coding.</t>
        </is>
      </c>
      <c r="I12" s="3" t="inlineStr">
        <is>
          <t>Committee review and approval</t>
        </is>
      </c>
    </row>
    <row r="13" ht="72" customHeight="1">
      <c r="A13" s="2" t="inlineStr">
        <is>
          <t>ARS-I2</t>
        </is>
      </c>
      <c r="B13" s="3" t="inlineStr">
        <is>
          <t>Analyze, prioritize, negotiate, validate, and trace requirements using appropriate evidence and models.</t>
        </is>
      </c>
      <c r="C13" s="4" t="inlineStr">
        <is>
          <t>PLO2</t>
        </is>
      </c>
      <c r="D13" s="3" t="inlineStr">
        <is>
          <t>PLO2: Analyze complex software problems and derive complete, consistent, prioritized, and traceable requirements.</t>
        </is>
      </c>
      <c r="E13" s="3" t="inlineStr">
        <is>
          <t>Full</t>
        </is>
      </c>
      <c r="F13" s="5" t="n">
        <v>1</v>
      </c>
      <c r="G13" s="3" t="inlineStr">
        <is>
          <t>Direct alignment: the mapped PLO outcome(s) operationalize the knowledge, intellectual, professional, or transferable capability stated in the ARS.</t>
        </is>
      </c>
      <c r="H13" s="3" t="inlineStr">
        <is>
          <t>Proposed analytical mapping. Confirm against the formally approved PLO wording and institutional coding.</t>
        </is>
      </c>
      <c r="I13" s="3" t="inlineStr">
        <is>
          <t>Committee review and approval</t>
        </is>
      </c>
    </row>
    <row r="14" ht="72" customHeight="1">
      <c r="A14" s="2" t="inlineStr">
        <is>
          <t>ARS-I3</t>
        </is>
      </c>
      <c r="B14" s="3" t="inlineStr">
        <is>
          <t>Model and abstract software-intensive systems and reason about behavior, data, interfaces, architecture, and quality attributes.</t>
        </is>
      </c>
      <c r="C14" s="4" t="inlineStr">
        <is>
          <t>PLO3</t>
        </is>
      </c>
      <c r="D14" s="3" t="inlineStr">
        <is>
          <t>PLO3: Design software architectures, components, interfaces, and data solutions that satisfy functional and quality requirements under realistic constraints.</t>
        </is>
      </c>
      <c r="E14" s="3" t="inlineStr">
        <is>
          <t>Full</t>
        </is>
      </c>
      <c r="F14" s="5" t="n">
        <v>1</v>
      </c>
      <c r="G14" s="3" t="inlineStr">
        <is>
          <t>Direct alignment: the mapped PLO outcome(s) operationalize the knowledge, intellectual, professional, or transferable capability stated in the ARS.</t>
        </is>
      </c>
      <c r="H14" s="3" t="inlineStr">
        <is>
          <t>Proposed analytical mapping. Confirm against the formally approved PLO wording and institutional coding.</t>
        </is>
      </c>
      <c r="I14" s="3" t="inlineStr">
        <is>
          <t>Committee review and approval</t>
        </is>
      </c>
    </row>
    <row r="15" ht="72" customHeight="1">
      <c r="A15" s="2" t="inlineStr">
        <is>
          <t>ARS-I4</t>
        </is>
      </c>
      <c r="B15" s="3" t="inlineStr">
        <is>
          <t>Generate and compare alternatives using explicit technical, economic, ethical, security, and sustainability criteria.</t>
        </is>
      </c>
      <c r="C15" s="4" t="inlineStr">
        <is>
          <t>PLO3, PLO12</t>
        </is>
      </c>
      <c r="D15" s="3" t="inlineStr">
        <is>
          <t>PLO3: Design software architectures, components, interfaces, and data solutions that satisfy functional and quality requirements under realistic constraints.
PLO12: Evaluate alternatives and make justified software engineering decisions considering quality, cost, schedule, feasibility, sustainability, and stakeholder value.</t>
        </is>
      </c>
      <c r="E15" s="3" t="inlineStr">
        <is>
          <t>Full</t>
        </is>
      </c>
      <c r="F15" s="5" t="n">
        <v>1</v>
      </c>
      <c r="G15" s="3" t="inlineStr">
        <is>
          <t>Direct alignment: the mapped PLO outcome(s) operationalize the knowledge, intellectual, professional, or transferable capability stated in the ARS.</t>
        </is>
      </c>
      <c r="H15" s="3" t="inlineStr">
        <is>
          <t>Proposed analytical mapping. Confirm against the formally approved PLO wording and institutional coding.</t>
        </is>
      </c>
      <c r="I15" s="3" t="inlineStr">
        <is>
          <t>Committee review and approval</t>
        </is>
      </c>
    </row>
    <row r="16" ht="72" customHeight="1">
      <c r="A16" s="2" t="inlineStr">
        <is>
          <t>ARS-I5</t>
        </is>
      </c>
      <c r="B16" s="3" t="inlineStr">
        <is>
          <t>Design investigations and interpret quantitative and qualitative evidence to evaluate software products and processes.</t>
        </is>
      </c>
      <c r="C16" s="4" t="inlineStr">
        <is>
          <t>PLO5, PLO8</t>
        </is>
      </c>
      <c r="D16" s="3" t="inlineStr">
        <is>
          <t>PLO5: Plan and perform verification, validation, testing, measurement, and empirical evaluation to assess software quality and support evidence-based decisions.
PLO8: Investigate contemporary software engineering problems, evaluate technical literature and data, and pursue independent and lifelong learning.</t>
        </is>
      </c>
      <c r="E16" s="3" t="inlineStr">
        <is>
          <t>Full</t>
        </is>
      </c>
      <c r="F16" s="5" t="n">
        <v>1</v>
      </c>
      <c r="G16" s="3" t="inlineStr">
        <is>
          <t>Direct alignment: the mapped PLO outcome(s) operationalize the knowledge, intellectual, professional, or transferable capability stated in the ARS.</t>
        </is>
      </c>
      <c r="H16" s="3" t="inlineStr">
        <is>
          <t>Proposed analytical mapping. Confirm against the formally approved PLO wording and institutional coding.</t>
        </is>
      </c>
      <c r="I16" s="3" t="inlineStr">
        <is>
          <t>Committee review and approval</t>
        </is>
      </c>
    </row>
    <row r="17" ht="72" customHeight="1">
      <c r="A17" s="2" t="inlineStr">
        <is>
          <t>ARS-I6</t>
        </is>
      </c>
      <c r="B17" s="3" t="inlineStr">
        <is>
          <t>Diagnose defects, incidents, performance limitations, and process problems and recommend corrective and preventive actions.</t>
        </is>
      </c>
      <c r="C17" s="4" t="inlineStr">
        <is>
          <t>PLO5</t>
        </is>
      </c>
      <c r="D17" s="3" t="inlineStr">
        <is>
          <t>PLO5: Plan and perform verification, validation, testing, measurement, and empirical evaluation to assess software quality and support evidence-based decisions.</t>
        </is>
      </c>
      <c r="E17" s="3" t="inlineStr">
        <is>
          <t>Full</t>
        </is>
      </c>
      <c r="F17" s="5" t="n">
        <v>1</v>
      </c>
      <c r="G17" s="3" t="inlineStr">
        <is>
          <t>Direct alignment: the mapped PLO outcome(s) operationalize the knowledge, intellectual, professional, or transferable capability stated in the ARS.</t>
        </is>
      </c>
      <c r="H17" s="3" t="inlineStr">
        <is>
          <t>Proposed analytical mapping. Confirm against the formally approved PLO wording and institutional coding.</t>
        </is>
      </c>
      <c r="I17" s="3" t="inlineStr">
        <is>
          <t>Committee review and approval</t>
        </is>
      </c>
    </row>
    <row r="18" ht="72" customHeight="1">
      <c r="A18" s="2" t="inlineStr">
        <is>
          <t>ARS-I7</t>
        </is>
      </c>
      <c r="B18" s="3" t="inlineStr">
        <is>
          <t>Integrate computing, domain knowledge, human factors, business context, security, and professional constraints into justified engineering decisions.</t>
        </is>
      </c>
      <c r="C18" s="4" t="inlineStr">
        <is>
          <t>PLO7, PLO12</t>
        </is>
      </c>
      <c r="D18" s="3" t="inlineStr">
        <is>
          <t>PLO7: Apply security, safety, privacy, resilience, and dependability principles to software systems and their operation.
PLO12: Evaluate alternatives and make justified software engineering decisions considering quality, cost, schedule, feasibility, sustainability, and stakeholder value.</t>
        </is>
      </c>
      <c r="E18" s="3" t="inlineStr">
        <is>
          <t>Full</t>
        </is>
      </c>
      <c r="F18" s="5" t="n">
        <v>1</v>
      </c>
      <c r="G18" s="3" t="inlineStr">
        <is>
          <t>Direct alignment: the mapped PLO outcome(s) operationalize the knowledge, intellectual, professional, or transferable capability stated in the ARS.</t>
        </is>
      </c>
      <c r="H18" s="3" t="inlineStr">
        <is>
          <t>Proposed analytical mapping. Confirm against the formally approved PLO wording and institutional coding.</t>
        </is>
      </c>
      <c r="I18" s="3" t="inlineStr">
        <is>
          <t>Committee review and approval</t>
        </is>
      </c>
    </row>
    <row r="19" ht="72" customHeight="1">
      <c r="A19" s="2" t="inlineStr">
        <is>
          <t>ARS-I8</t>
        </is>
      </c>
      <c r="B19" s="3" t="inlineStr">
        <is>
          <t>Critically appraise technical and research literature and independently learn unfamiliar technologies, methods, and standards.</t>
        </is>
      </c>
      <c r="C19" s="4" t="inlineStr">
        <is>
          <t>PLO8</t>
        </is>
      </c>
      <c r="D19" s="3" t="inlineStr">
        <is>
          <t>PLO8: Investigate contemporary software engineering problems, evaluate technical literature and data, and pursue independent and lifelong learning.</t>
        </is>
      </c>
      <c r="E19" s="3" t="inlineStr">
        <is>
          <t>Full</t>
        </is>
      </c>
      <c r="F19" s="5" t="n">
        <v>1</v>
      </c>
      <c r="G19" s="3" t="inlineStr">
        <is>
          <t>Direct alignment: the mapped PLO outcome(s) operationalize the knowledge, intellectual, professional, or transferable capability stated in the ARS.</t>
        </is>
      </c>
      <c r="H19" s="3" t="inlineStr">
        <is>
          <t>Proposed analytical mapping. Confirm against the formally approved PLO wording and institutional coding.</t>
        </is>
      </c>
      <c r="I19" s="3" t="inlineStr">
        <is>
          <t>Committee review and approval</t>
        </is>
      </c>
    </row>
    <row r="20" ht="72" customHeight="1">
      <c r="A20" s="2" t="inlineStr">
        <is>
          <t>ARS-P1</t>
        </is>
      </c>
      <c r="B20" s="3" t="inlineStr">
        <is>
          <t>Elicit, document, validate, baseline, trace, and manage software requirements using suitable techniques and tools.</t>
        </is>
      </c>
      <c r="C20" s="4" t="inlineStr">
        <is>
          <t>PLO2</t>
        </is>
      </c>
      <c r="D20" s="3" t="inlineStr">
        <is>
          <t>PLO2: Analyze complex software problems and derive complete, consistent, prioritized, and traceable requirements.</t>
        </is>
      </c>
      <c r="E20" s="3" t="inlineStr">
        <is>
          <t>Full</t>
        </is>
      </c>
      <c r="F20" s="5" t="n">
        <v>1</v>
      </c>
      <c r="G20" s="3" t="inlineStr">
        <is>
          <t>Direct alignment: the mapped PLO outcome(s) operationalize the knowledge, intellectual, professional, or transferable capability stated in the ARS.</t>
        </is>
      </c>
      <c r="H20" s="3" t="inlineStr">
        <is>
          <t>Proposed analytical mapping. Confirm against the formally approved PLO wording and institutional coding.</t>
        </is>
      </c>
      <c r="I20" s="3" t="inlineStr">
        <is>
          <t>Committee review and approval</t>
        </is>
      </c>
    </row>
    <row r="21" ht="72" customHeight="1">
      <c r="A21" s="2" t="inlineStr">
        <is>
          <t>ARS-P2</t>
        </is>
      </c>
      <c r="B21" s="3" t="inlineStr">
        <is>
          <t>Produce and evaluate architectural, component, data, interface, and user-experience designs using appropriate notation and prototypes.</t>
        </is>
      </c>
      <c r="C21" s="4" t="inlineStr">
        <is>
          <t>PLO3</t>
        </is>
      </c>
      <c r="D21" s="3" t="inlineStr">
        <is>
          <t>PLO3: Design software architectures, components, interfaces, and data solutions that satisfy functional and quality requirements under realistic constraints.</t>
        </is>
      </c>
      <c r="E21" s="3" t="inlineStr">
        <is>
          <t>Full</t>
        </is>
      </c>
      <c r="F21" s="5" t="n">
        <v>1</v>
      </c>
      <c r="G21" s="3" t="inlineStr">
        <is>
          <t>Direct alignment: the mapped PLO outcome(s) operationalize the knowledge, intellectual, professional, or transferable capability stated in the ARS.</t>
        </is>
      </c>
      <c r="H21" s="3" t="inlineStr">
        <is>
          <t>Proposed analytical mapping. Confirm against the formally approved PLO wording and institutional coding.</t>
        </is>
      </c>
      <c r="I21" s="3" t="inlineStr">
        <is>
          <t>Committee review and approval</t>
        </is>
      </c>
    </row>
    <row r="22" ht="72" customHeight="1">
      <c r="A22" s="2" t="inlineStr">
        <is>
          <t>ARS-P3</t>
        </is>
      </c>
      <c r="B22" s="3" t="inlineStr">
        <is>
          <t>Implement readable, secure, testable, and maintainable software using standards, version control, review, refactoring, and reusable components.</t>
        </is>
      </c>
      <c r="C22" s="4" t="inlineStr">
        <is>
          <t>PLO4</t>
        </is>
      </c>
      <c r="D22" s="3" t="inlineStr">
        <is>
          <t>PLO4: Construct, integrate, configure, deploy, and maintain reliable software systems using appropriate languages, platforms, tools, and DevOps practices.</t>
        </is>
      </c>
      <c r="E22" s="3" t="inlineStr">
        <is>
          <t>Full</t>
        </is>
      </c>
      <c r="F22" s="5" t="n">
        <v>1</v>
      </c>
      <c r="G22" s="3" t="inlineStr">
        <is>
          <t>Direct alignment: the mapped PLO outcome(s) operationalize the knowledge, intellectual, professional, or transferable capability stated in the ARS.</t>
        </is>
      </c>
      <c r="H22" s="3" t="inlineStr">
        <is>
          <t>Proposed analytical mapping. Confirm against the formally approved PLO wording and institutional coding.</t>
        </is>
      </c>
      <c r="I22" s="3" t="inlineStr">
        <is>
          <t>Committee review and approval</t>
        </is>
      </c>
    </row>
    <row r="23" ht="72" customHeight="1">
      <c r="A23" s="2" t="inlineStr">
        <is>
          <t>ARS-P4</t>
        </is>
      </c>
      <c r="B23" s="3" t="inlineStr">
        <is>
          <t>Build, integrate, package, deploy, configure, operate, monitor, maintain, and evolve software systems in representative environments.</t>
        </is>
      </c>
      <c r="C23" s="4" t="inlineStr">
        <is>
          <t>PLO4</t>
        </is>
      </c>
      <c r="D23" s="3" t="inlineStr">
        <is>
          <t>PLO4: Construct, integrate, configure, deploy, and maintain reliable software systems using appropriate languages, platforms, tools, and DevOps practices.</t>
        </is>
      </c>
      <c r="E23" s="3" t="inlineStr">
        <is>
          <t>Full</t>
        </is>
      </c>
      <c r="F23" s="5" t="n">
        <v>1</v>
      </c>
      <c r="G23" s="3" t="inlineStr">
        <is>
          <t>Direct alignment: the mapped PLO outcome(s) operationalize the knowledge, intellectual, professional, or transferable capability stated in the ARS.</t>
        </is>
      </c>
      <c r="H23" s="3" t="inlineStr">
        <is>
          <t>Proposed analytical mapping. Confirm against the formally approved PLO wording and institutional coding.</t>
        </is>
      </c>
      <c r="I23" s="3" t="inlineStr">
        <is>
          <t>Committee review and approval</t>
        </is>
      </c>
    </row>
    <row r="24" ht="72" customHeight="1">
      <c r="A24" s="2" t="inlineStr">
        <is>
          <t>ARS-P5</t>
        </is>
      </c>
      <c r="B24" s="3" t="inlineStr">
        <is>
          <t>Design and execute unit, integration, system, acceptance, performance, usability, and security tests, using automation where appropriate.</t>
        </is>
      </c>
      <c r="C24" s="4" t="inlineStr">
        <is>
          <t>PLO5</t>
        </is>
      </c>
      <c r="D24" s="3" t="inlineStr">
        <is>
          <t>PLO5: Plan and perform verification, validation, testing, measurement, and empirical evaluation to assess software quality and support evidence-based decisions.</t>
        </is>
      </c>
      <c r="E24" s="3" t="inlineStr">
        <is>
          <t>Full</t>
        </is>
      </c>
      <c r="F24" s="5" t="n">
        <v>1</v>
      </c>
      <c r="G24" s="3" t="inlineStr">
        <is>
          <t>Direct alignment: the mapped PLO outcome(s) operationalize the knowledge, intellectual, professional, or transferable capability stated in the ARS.</t>
        </is>
      </c>
      <c r="H24" s="3" t="inlineStr">
        <is>
          <t>Proposed analytical mapping. Confirm against the formally approved PLO wording and institutional coding.</t>
        </is>
      </c>
      <c r="I24" s="3" t="inlineStr">
        <is>
          <t>Committee review and approval</t>
        </is>
      </c>
    </row>
    <row r="25" ht="72" customHeight="1">
      <c r="A25" s="2" t="inlineStr">
        <is>
          <t>ARS-P6</t>
        </is>
      </c>
      <c r="B25" s="3" t="inlineStr">
        <is>
          <t>Apply reviews, static and dynamic analysis, quality assurance, configuration management, CI/CD, measurement, and process improvement.</t>
        </is>
      </c>
      <c r="C25" s="4" t="inlineStr">
        <is>
          <t>PLO5, PLO6</t>
        </is>
      </c>
      <c r="D25" s="3" t="inlineStr">
        <is>
          <t>PLO5: Plan and perform verification, validation, testing, measurement, and empirical evaluation to assess software quality and support evidence-based decisions.
PLO6: Manage software projects, processes, resources, risks, change, configuration, and technical debt throughout the software life cycle.</t>
        </is>
      </c>
      <c r="E25" s="3" t="inlineStr">
        <is>
          <t>Full</t>
        </is>
      </c>
      <c r="F25" s="5" t="n">
        <v>1</v>
      </c>
      <c r="G25" s="3" t="inlineStr">
        <is>
          <t>Direct alignment: the mapped PLO outcome(s) operationalize the knowledge, intellectual, professional, or transferable capability stated in the ARS.</t>
        </is>
      </c>
      <c r="H25" s="3" t="inlineStr">
        <is>
          <t>Proposed analytical mapping. Confirm against the formally approved PLO wording and institutional coding.</t>
        </is>
      </c>
      <c r="I25" s="3" t="inlineStr">
        <is>
          <t>Committee review and approval</t>
        </is>
      </c>
    </row>
    <row r="26" ht="72" customHeight="1">
      <c r="A26" s="2" t="inlineStr">
        <is>
          <t>ARS-P7</t>
        </is>
      </c>
      <c r="B26" s="3" t="inlineStr">
        <is>
          <t>Apply secure coding, threat modeling, privacy controls, reliability, resilience, safety, and incident-response practices throughout the life cycle.</t>
        </is>
      </c>
      <c r="C26" s="4" t="inlineStr">
        <is>
          <t>PLO7</t>
        </is>
      </c>
      <c r="D26" s="3" t="inlineStr">
        <is>
          <t>PLO7: Apply security, safety, privacy, resilience, and dependability principles to software systems and their operation.</t>
        </is>
      </c>
      <c r="E26" s="3" t="inlineStr">
        <is>
          <t>Full</t>
        </is>
      </c>
      <c r="F26" s="5" t="n">
        <v>1</v>
      </c>
      <c r="G26" s="3" t="inlineStr">
        <is>
          <t>Direct alignment: the mapped PLO outcome(s) operationalize the knowledge, intellectual, professional, or transferable capability stated in the ARS.</t>
        </is>
      </c>
      <c r="H26" s="3" t="inlineStr">
        <is>
          <t>Proposed analytical mapping. Confirm against the formally approved PLO wording and institutional coding.</t>
        </is>
      </c>
      <c r="I26" s="3" t="inlineStr">
        <is>
          <t>Committee review and approval</t>
        </is>
      </c>
    </row>
    <row r="27" ht="72" customHeight="1">
      <c r="A27" s="2" t="inlineStr">
        <is>
          <t>ARS-P8</t>
        </is>
      </c>
      <c r="B27" s="3" t="inlineStr">
        <is>
          <t>Estimate and plan software work, allocate resources, track progress, manage risk and change, and report project status.</t>
        </is>
      </c>
      <c r="C27" s="4" t="inlineStr">
        <is>
          <t>PLO6, PLO10</t>
        </is>
      </c>
      <c r="D27" s="3" t="inlineStr">
        <is>
          <t>PLO6: Manage software projects, processes, resources, risks, change, configuration, and technical debt throughout the software life cycle.
PLO10: Work effectively and responsibly as an individual, team member, or leader in multidisciplinary and distributed environments.</t>
        </is>
      </c>
      <c r="E27" s="3" t="inlineStr">
        <is>
          <t>Full</t>
        </is>
      </c>
      <c r="F27" s="5" t="n">
        <v>1</v>
      </c>
      <c r="G27" s="3" t="inlineStr">
        <is>
          <t>Direct alignment: the mapped PLO outcome(s) operationalize the knowledge, intellectual, professional, or transferable capability stated in the ARS.</t>
        </is>
      </c>
      <c r="H27" s="3" t="inlineStr">
        <is>
          <t>Proposed analytical mapping. Confirm against the formally approved PLO wording and institutional coding.</t>
        </is>
      </c>
      <c r="I27" s="3" t="inlineStr">
        <is>
          <t>Committee review and approval</t>
        </is>
      </c>
    </row>
    <row r="28" ht="72" customHeight="1">
      <c r="A28" s="2" t="inlineStr">
        <is>
          <t>ARS-P9</t>
        </is>
      </c>
      <c r="B28" s="3" t="inlineStr">
        <is>
          <t>Use development environments, modeling tools, repositories, issue trackers, collaboration platforms, cloud services, and AI-assisted tools responsibly and critically.</t>
        </is>
      </c>
      <c r="C28" s="4" t="inlineStr">
        <is>
          <t>PLO4, PLO8</t>
        </is>
      </c>
      <c r="D28" s="3" t="inlineStr">
        <is>
          <t>PLO4: Construct, integrate, configure, deploy, and maintain reliable software systems using appropriate languages, platforms, tools, and DevOps practices.
PLO8: Investigate contemporary software engineering problems, evaluate technical literature and data, and pursue independent and lifelong learning.</t>
        </is>
      </c>
      <c r="E28" s="3" t="inlineStr">
        <is>
          <t>Full</t>
        </is>
      </c>
      <c r="F28" s="5" t="n">
        <v>1</v>
      </c>
      <c r="G28" s="3" t="inlineStr">
        <is>
          <t>Direct alignment: the mapped PLO outcome(s) operationalize the knowledge, intellectual, professional, or transferable capability stated in the ARS.</t>
        </is>
      </c>
      <c r="H28" s="3" t="inlineStr">
        <is>
          <t>Proposed analytical mapping. Confirm against the formally approved PLO wording and institutional coding.</t>
        </is>
      </c>
      <c r="I28" s="3" t="inlineStr">
        <is>
          <t>Committee review and approval</t>
        </is>
      </c>
    </row>
    <row r="29" ht="72" customHeight="1">
      <c r="A29" s="2" t="inlineStr">
        <is>
          <t>ARS-P10</t>
        </is>
      </c>
      <c r="B29" s="3" t="inlineStr">
        <is>
          <t>Plan, deliver, document, demonstrate, and defend a substantial team-based software engineering project for a realistic stakeholder.</t>
        </is>
      </c>
      <c r="C29" s="4" t="inlineStr">
        <is>
          <t>PLO9</t>
        </is>
      </c>
      <c r="D29" s="3" t="inlineStr">
        <is>
          <t>PLO9: Communicate software requirements, designs, results, and decisions effectively through professional oral, written, visual, and technical documentation.</t>
        </is>
      </c>
      <c r="E29" s="3" t="inlineStr">
        <is>
          <t>Full</t>
        </is>
      </c>
      <c r="F29" s="5" t="n">
        <v>1</v>
      </c>
      <c r="G29" s="3" t="inlineStr">
        <is>
          <t>Direct alignment: the mapped PLO outcome(s) operationalize the knowledge, intellectual, professional, or transferable capability stated in the ARS.</t>
        </is>
      </c>
      <c r="H29" s="3" t="inlineStr">
        <is>
          <t>Proposed analytical mapping. Confirm against the formally approved PLO wording and institutional coding.</t>
        </is>
      </c>
      <c r="I29" s="3" t="inlineStr">
        <is>
          <t>Committee review and approval</t>
        </is>
      </c>
    </row>
    <row r="30" ht="72" customHeight="1">
      <c r="A30" s="2" t="inlineStr">
        <is>
          <t>ARS-T1</t>
        </is>
      </c>
      <c r="B30" s="3" t="inlineStr">
        <is>
          <t>Communicate clearly through written, oral, visual, and technical forms to diverse audiences.</t>
        </is>
      </c>
      <c r="C30" s="4" t="inlineStr">
        <is>
          <t>PLO9</t>
        </is>
      </c>
      <c r="D30" s="3" t="inlineStr">
        <is>
          <t>PLO9: Communicate software requirements, designs, results, and decisions effectively through professional oral, written, visual, and technical documentation.</t>
        </is>
      </c>
      <c r="E30" s="3" t="inlineStr">
        <is>
          <t>Full</t>
        </is>
      </c>
      <c r="F30" s="5" t="n">
        <v>1</v>
      </c>
      <c r="G30" s="3" t="inlineStr">
        <is>
          <t>Direct alignment: the mapped PLO outcome(s) operationalize the knowledge, intellectual, professional, or transferable capability stated in the ARS.</t>
        </is>
      </c>
      <c r="H30" s="3" t="inlineStr">
        <is>
          <t>Proposed analytical mapping. Confirm against the formally approved PLO wording and institutional coding.</t>
        </is>
      </c>
      <c r="I30" s="3" t="inlineStr">
        <is>
          <t>Committee review and approval</t>
        </is>
      </c>
    </row>
    <row r="31" ht="72" customHeight="1">
      <c r="A31" s="2" t="inlineStr">
        <is>
          <t>ARS-T2</t>
        </is>
      </c>
      <c r="B31" s="3" t="inlineStr">
        <is>
          <t>Collaborate effectively in diverse and multidisciplinary teams, exercising leadership, negotiation, feedback, and conflict-resolution skills.</t>
        </is>
      </c>
      <c r="C31" s="4" t="inlineStr">
        <is>
          <t>PLO10</t>
        </is>
      </c>
      <c r="D31" s="3" t="inlineStr">
        <is>
          <t>PLO10: Work effectively and responsibly as an individual, team member, or leader in multidisciplinary and distributed environments.</t>
        </is>
      </c>
      <c r="E31" s="3" t="inlineStr">
        <is>
          <t>Full</t>
        </is>
      </c>
      <c r="F31" s="5" t="n">
        <v>1</v>
      </c>
      <c r="G31" s="3" t="inlineStr">
        <is>
          <t>Direct alignment: the mapped PLO outcome(s) operationalize the knowledge, intellectual, professional, or transferable capability stated in the ARS.</t>
        </is>
      </c>
      <c r="H31" s="3" t="inlineStr">
        <is>
          <t>Proposed analytical mapping. Confirm against the formally approved PLO wording and institutional coding.</t>
        </is>
      </c>
      <c r="I31" s="3" t="inlineStr">
        <is>
          <t>Committee review and approval</t>
        </is>
      </c>
    </row>
    <row r="32" ht="72" customHeight="1">
      <c r="A32" s="2" t="inlineStr">
        <is>
          <t>ARS-T3</t>
        </is>
      </c>
      <c r="B32" s="3" t="inlineStr">
        <is>
          <t>Manage time and workload, work autonomously, accept responsibility, and respond constructively to constraints and change.</t>
        </is>
      </c>
      <c r="C32" s="4" t="inlineStr">
        <is>
          <t>PLO10</t>
        </is>
      </c>
      <c r="D32" s="3" t="inlineStr">
        <is>
          <t>PLO10: Work effectively and responsibly as an individual, team member, or leader in multidisciplinary and distributed environments.</t>
        </is>
      </c>
      <c r="E32" s="3" t="inlineStr">
        <is>
          <t>Full</t>
        </is>
      </c>
      <c r="F32" s="5" t="n">
        <v>1</v>
      </c>
      <c r="G32" s="3" t="inlineStr">
        <is>
          <t>Direct alignment: the mapped PLO outcome(s) operationalize the knowledge, intellectual, professional, or transferable capability stated in the ARS.</t>
        </is>
      </c>
      <c r="H32" s="3" t="inlineStr">
        <is>
          <t>Proposed analytical mapping. Confirm against the formally approved PLO wording and institutional coding.</t>
        </is>
      </c>
      <c r="I32" s="3" t="inlineStr">
        <is>
          <t>Committee review and approval</t>
        </is>
      </c>
    </row>
    <row r="33" ht="72" customHeight="1">
      <c r="A33" s="2" t="inlineStr">
        <is>
          <t>ARS-T4</t>
        </is>
      </c>
      <c r="B33" s="3" t="inlineStr">
        <is>
          <t>Practice lifelong learning, reflection, adaptability, information literacy, and evidence-based self-improvement.</t>
        </is>
      </c>
      <c r="C33" s="4" t="inlineStr">
        <is>
          <t>PLO8</t>
        </is>
      </c>
      <c r="D33" s="3" t="inlineStr">
        <is>
          <t>PLO8: Investigate contemporary software engineering problems, evaluate technical literature and data, and pursue independent and lifelong learning.</t>
        </is>
      </c>
      <c r="E33" s="3" t="inlineStr">
        <is>
          <t>Full</t>
        </is>
      </c>
      <c r="F33" s="5" t="n">
        <v>1</v>
      </c>
      <c r="G33" s="3" t="inlineStr">
        <is>
          <t>Direct alignment: the mapped PLO outcome(s) operationalize the knowledge, intellectual, professional, or transferable capability stated in the ARS.</t>
        </is>
      </c>
      <c r="H33" s="3" t="inlineStr">
        <is>
          <t>Proposed analytical mapping. Confirm against the formally approved PLO wording and institutional coding.</t>
        </is>
      </c>
      <c r="I33" s="3" t="inlineStr">
        <is>
          <t>Committee review and approval</t>
        </is>
      </c>
    </row>
    <row r="34" ht="72" customHeight="1">
      <c r="A34" s="2" t="inlineStr">
        <is>
          <t>ARS-T5</t>
        </is>
      </c>
      <c r="B34" s="3" t="inlineStr">
        <is>
          <t>Demonstrate integrity, professionalism, inclusiveness, accountability, respect for intellectual property, and concern for public welfare.</t>
        </is>
      </c>
      <c r="C34" s="4" t="inlineStr">
        <is>
          <t>PLO11</t>
        </is>
      </c>
      <c r="D34" s="3" t="inlineStr">
        <is>
          <t>PLO11: Practice software engineering in accordance with professional, legal, ethical, societal, cultural, economic, and environmental responsibilities.</t>
        </is>
      </c>
      <c r="E34" s="3" t="inlineStr">
        <is>
          <t>Full</t>
        </is>
      </c>
      <c r="F34" s="5" t="n">
        <v>1</v>
      </c>
      <c r="G34" s="3" t="inlineStr">
        <is>
          <t>Direct alignment: the mapped PLO outcome(s) operationalize the knowledge, intellectual, professional, or transferable capability stated in the ARS.</t>
        </is>
      </c>
      <c r="H34" s="3" t="inlineStr">
        <is>
          <t>Proposed analytical mapping. Confirm against the formally approved PLO wording and institutional coding.</t>
        </is>
      </c>
      <c r="I34" s="3" t="inlineStr">
        <is>
          <t>Committee review and approval</t>
        </is>
      </c>
    </row>
    <row r="35" ht="72" customHeight="1">
      <c r="A35" s="2" t="inlineStr">
        <is>
          <t>ARS-T6</t>
        </is>
      </c>
      <c r="B35" s="3" t="inlineStr">
        <is>
          <t>Demonstrate creativity, innovation, entrepreneurship, product thinking, stakeholder-value orientation, and awareness of organizational and economic contexts.</t>
        </is>
      </c>
      <c r="C35" s="4" t="inlineStr">
        <is>
          <t>PLO11, PLO12</t>
        </is>
      </c>
      <c r="D35" s="3" t="inlineStr">
        <is>
          <t>PLO11: Practice software engineering in accordance with professional, legal, ethical, societal, cultural, economic, and environmental responsibilities.
PLO12: Evaluate alternatives and make justified software engineering decisions considering quality, cost, schedule, feasibility, sustainability, and stakeholder value.</t>
        </is>
      </c>
      <c r="E35" s="3" t="inlineStr">
        <is>
          <t>Full</t>
        </is>
      </c>
      <c r="F35" s="5" t="n">
        <v>1</v>
      </c>
      <c r="G35" s="3" t="inlineStr">
        <is>
          <t>Direct alignment: the mapped PLO outcome(s) operationalize the knowledge, intellectual, professional, or transferable capability stated in the ARS.</t>
        </is>
      </c>
      <c r="H35" s="3" t="inlineStr">
        <is>
          <t>Proposed analytical mapping. Confirm against the formally approved PLO wording and institutional coding.</t>
        </is>
      </c>
      <c r="I35" s="3" t="inlineStr">
        <is>
          <t>Committee review and approval</t>
        </is>
      </c>
    </row>
  </sheetData>
  <conditionalFormatting sqref="F2:F35">
    <cfRule type="cellIs" priority="1" operator="lessThan" dxfId="0">
      <formula>1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5" customWidth="1" min="2" max="2"/>
    <col width="28" customWidth="1" min="3" max="3"/>
    <col width="18" customWidth="1" min="4" max="4"/>
    <col width="55" customWidth="1" min="5" max="5"/>
  </cols>
  <sheetData>
    <row r="1">
      <c r="A1" s="6" t="inlineStr">
        <is>
          <t>PLO Code</t>
        </is>
      </c>
      <c r="B1" s="6" t="inlineStr">
        <is>
          <t>Proposed Program Learning Outcome</t>
        </is>
      </c>
      <c r="C1" s="6" t="inlineStr">
        <is>
          <t>Domain</t>
        </is>
      </c>
      <c r="D1" s="6" t="inlineStr">
        <is>
          <t>Approval Status</t>
        </is>
      </c>
      <c r="E1" s="6" t="inlineStr">
        <is>
          <t>Review Note</t>
        </is>
      </c>
    </row>
    <row r="2" ht="55" customHeight="1">
      <c r="A2" s="4" t="inlineStr">
        <is>
          <t>PLO1</t>
        </is>
      </c>
      <c r="B2" s="3" t="inlineStr">
        <is>
          <t>Apply mathematics, statistics, computing foundations, and engineering principles to solve software engineering problems.</t>
        </is>
      </c>
      <c r="C2" s="3" t="inlineStr">
        <is>
          <t>Knowledge</t>
        </is>
      </c>
      <c r="D2" s="7" t="inlineStr">
        <is>
          <t>Draft</t>
        </is>
      </c>
      <c r="E2" s="3" t="inlineStr">
        <is>
          <t>Replace or confirm with the formally approved program outcome wording.</t>
        </is>
      </c>
    </row>
    <row r="3" ht="55" customHeight="1">
      <c r="A3" s="4" t="inlineStr">
        <is>
          <t>PLO2</t>
        </is>
      </c>
      <c r="B3" s="3" t="inlineStr">
        <is>
          <t>Analyze complex software problems and derive complete, consistent, prioritized, and traceable requirements.</t>
        </is>
      </c>
      <c r="C3" s="3" t="inlineStr">
        <is>
          <t>Intellectual</t>
        </is>
      </c>
      <c r="D3" s="7" t="inlineStr">
        <is>
          <t>Draft</t>
        </is>
      </c>
      <c r="E3" s="3" t="inlineStr">
        <is>
          <t>Replace or confirm with the formally approved program outcome wording.</t>
        </is>
      </c>
    </row>
    <row r="4" ht="55" customHeight="1">
      <c r="A4" s="4" t="inlineStr">
        <is>
          <t>PLO3</t>
        </is>
      </c>
      <c r="B4" s="3" t="inlineStr">
        <is>
          <t>Design software architectures, components, interfaces, and data solutions that satisfy functional and quality requirements under realistic constraints.</t>
        </is>
      </c>
      <c r="C4" s="3" t="inlineStr">
        <is>
          <t>Intellectual</t>
        </is>
      </c>
      <c r="D4" s="7" t="inlineStr">
        <is>
          <t>Draft</t>
        </is>
      </c>
      <c r="E4" s="3" t="inlineStr">
        <is>
          <t>Replace or confirm with the formally approved program outcome wording.</t>
        </is>
      </c>
    </row>
    <row r="5" ht="55" customHeight="1">
      <c r="A5" s="4" t="inlineStr">
        <is>
          <t>PLO4</t>
        </is>
      </c>
      <c r="B5" s="3" t="inlineStr">
        <is>
          <t>Construct, integrate, configure, deploy, and maintain reliable software systems using appropriate languages, platforms, tools, and DevOps practices.</t>
        </is>
      </c>
      <c r="C5" s="3" t="inlineStr">
        <is>
          <t>Professional</t>
        </is>
      </c>
      <c r="D5" s="7" t="inlineStr">
        <is>
          <t>Draft</t>
        </is>
      </c>
      <c r="E5" s="3" t="inlineStr">
        <is>
          <t>Replace or confirm with the formally approved program outcome wording.</t>
        </is>
      </c>
    </row>
    <row r="6" ht="55" customHeight="1">
      <c r="A6" s="4" t="inlineStr">
        <is>
          <t>PLO5</t>
        </is>
      </c>
      <c r="B6" s="3" t="inlineStr">
        <is>
          <t>Plan and perform verification, validation, testing, measurement, and empirical evaluation to assess software quality and support evidence-based decisions.</t>
        </is>
      </c>
      <c r="C6" s="3" t="inlineStr">
        <is>
          <t>Professional</t>
        </is>
      </c>
      <c r="D6" s="7" t="inlineStr">
        <is>
          <t>Draft</t>
        </is>
      </c>
      <c r="E6" s="3" t="inlineStr">
        <is>
          <t>Replace or confirm with the formally approved program outcome wording.</t>
        </is>
      </c>
    </row>
    <row r="7" ht="55" customHeight="1">
      <c r="A7" s="4" t="inlineStr">
        <is>
          <t>PLO6</t>
        </is>
      </c>
      <c r="B7" s="3" t="inlineStr">
        <is>
          <t>Manage software projects, processes, resources, risks, change, configuration, and technical debt throughout the software life cycle.</t>
        </is>
      </c>
      <c r="C7" s="3" t="inlineStr">
        <is>
          <t>Professional</t>
        </is>
      </c>
      <c r="D7" s="7" t="inlineStr">
        <is>
          <t>Draft</t>
        </is>
      </c>
      <c r="E7" s="3" t="inlineStr">
        <is>
          <t>Replace or confirm with the formally approved program outcome wording.</t>
        </is>
      </c>
    </row>
    <row r="8" ht="55" customHeight="1">
      <c r="A8" s="4" t="inlineStr">
        <is>
          <t>PLO7</t>
        </is>
      </c>
      <c r="B8" s="3" t="inlineStr">
        <is>
          <t>Apply security, safety, privacy, resilience, and dependability principles to software systems and their operation.</t>
        </is>
      </c>
      <c r="C8" s="3" t="inlineStr">
        <is>
          <t>Professional</t>
        </is>
      </c>
      <c r="D8" s="7" t="inlineStr">
        <is>
          <t>Draft</t>
        </is>
      </c>
      <c r="E8" s="3" t="inlineStr">
        <is>
          <t>Replace or confirm with the formally approved program outcome wording.</t>
        </is>
      </c>
    </row>
    <row r="9" ht="55" customHeight="1">
      <c r="A9" s="4" t="inlineStr">
        <is>
          <t>PLO8</t>
        </is>
      </c>
      <c r="B9" s="3" t="inlineStr">
        <is>
          <t>Investigate contemporary software engineering problems, evaluate technical literature and data, and pursue independent and lifelong learning.</t>
        </is>
      </c>
      <c r="C9" s="3" t="inlineStr">
        <is>
          <t>Intellectual / Transferable</t>
        </is>
      </c>
      <c r="D9" s="7" t="inlineStr">
        <is>
          <t>Draft</t>
        </is>
      </c>
      <c r="E9" s="3" t="inlineStr">
        <is>
          <t>Replace or confirm with the formally approved program outcome wording.</t>
        </is>
      </c>
    </row>
    <row r="10" ht="55" customHeight="1">
      <c r="A10" s="4" t="inlineStr">
        <is>
          <t>PLO9</t>
        </is>
      </c>
      <c r="B10" s="3" t="inlineStr">
        <is>
          <t>Communicate software requirements, designs, results, and decisions effectively through professional oral, written, visual, and technical documentation.</t>
        </is>
      </c>
      <c r="C10" s="3" t="inlineStr">
        <is>
          <t>Transferable</t>
        </is>
      </c>
      <c r="D10" s="7" t="inlineStr">
        <is>
          <t>Draft</t>
        </is>
      </c>
      <c r="E10" s="3" t="inlineStr">
        <is>
          <t>Replace or confirm with the formally approved program outcome wording.</t>
        </is>
      </c>
    </row>
    <row r="11" ht="55" customHeight="1">
      <c r="A11" s="4" t="inlineStr">
        <is>
          <t>PLO10</t>
        </is>
      </c>
      <c r="B11" s="3" t="inlineStr">
        <is>
          <t>Work effectively and responsibly as an individual, team member, or leader in multidisciplinary and distributed environments.</t>
        </is>
      </c>
      <c r="C11" s="3" t="inlineStr">
        <is>
          <t>Transferable</t>
        </is>
      </c>
      <c r="D11" s="7" t="inlineStr">
        <is>
          <t>Draft</t>
        </is>
      </c>
      <c r="E11" s="3" t="inlineStr">
        <is>
          <t>Replace or confirm with the formally approved program outcome wording.</t>
        </is>
      </c>
    </row>
    <row r="12" ht="55" customHeight="1">
      <c r="A12" s="4" t="inlineStr">
        <is>
          <t>PLO11</t>
        </is>
      </c>
      <c r="B12" s="3" t="inlineStr">
        <is>
          <t>Practice software engineering in accordance with professional, legal, ethical, societal, cultural, economic, and environmental responsibilities.</t>
        </is>
      </c>
      <c r="C12" s="3" t="inlineStr">
        <is>
          <t>Transferable</t>
        </is>
      </c>
      <c r="D12" s="7" t="inlineStr">
        <is>
          <t>Draft</t>
        </is>
      </c>
      <c r="E12" s="3" t="inlineStr">
        <is>
          <t>Replace or confirm with the formally approved program outcome wording.</t>
        </is>
      </c>
    </row>
    <row r="13" ht="55" customHeight="1">
      <c r="A13" s="4" t="inlineStr">
        <is>
          <t>PLO12</t>
        </is>
      </c>
      <c r="B13" s="3" t="inlineStr">
        <is>
          <t>Evaluate alternatives and make justified software engineering decisions considering quality, cost, schedule, feasibility, sustainability, and stakeholder value.</t>
        </is>
      </c>
      <c r="C13" s="3" t="inlineStr">
        <is>
          <t>Intellectual</t>
        </is>
      </c>
      <c r="D13" s="7" t="inlineStr">
        <is>
          <t>Draft</t>
        </is>
      </c>
      <c r="E13" s="3" t="inlineStr">
        <is>
          <t>Replace or confirm with the formally approved program outcome wording.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ARS Code</t>
        </is>
      </c>
      <c r="B1" s="1" t="inlineStr">
        <is>
          <t>PLO1</t>
        </is>
      </c>
      <c r="C1" s="1" t="inlineStr">
        <is>
          <t>PLO2</t>
        </is>
      </c>
      <c r="D1" s="1" t="inlineStr">
        <is>
          <t>PLO3</t>
        </is>
      </c>
      <c r="E1" s="1" t="inlineStr">
        <is>
          <t>PLO4</t>
        </is>
      </c>
      <c r="F1" s="1" t="inlineStr">
        <is>
          <t>PLO5</t>
        </is>
      </c>
      <c r="G1" s="1" t="inlineStr">
        <is>
          <t>PLO6</t>
        </is>
      </c>
      <c r="H1" s="1" t="inlineStr">
        <is>
          <t>PLO7</t>
        </is>
      </c>
      <c r="I1" s="1" t="inlineStr">
        <is>
          <t>PLO8</t>
        </is>
      </c>
      <c r="J1" s="1" t="inlineStr">
        <is>
          <t>PLO9</t>
        </is>
      </c>
      <c r="K1" s="1" t="inlineStr">
        <is>
          <t>PLO10</t>
        </is>
      </c>
      <c r="L1" s="1" t="inlineStr">
        <is>
          <t>PLO11</t>
        </is>
      </c>
      <c r="M1" s="1" t="inlineStr">
        <is>
          <t>PLO12</t>
        </is>
      </c>
      <c r="N1" s="1" t="inlineStr">
        <is>
          <t>Mapped PLO Count</t>
        </is>
      </c>
    </row>
    <row r="2">
      <c r="A2" s="8" t="inlineStr">
        <is>
          <t>ARS-K1</t>
        </is>
      </c>
      <c r="B2" s="8" t="n">
        <v>1</v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>
        <f>COUNT(B2:M2)</f>
        <v/>
      </c>
    </row>
    <row r="3">
      <c r="A3" s="8" t="inlineStr">
        <is>
          <t>ARS-K2</t>
        </is>
      </c>
      <c r="B3" s="8" t="n">
        <v>1</v>
      </c>
      <c r="C3" s="8" t="inlineStr"/>
      <c r="D3" s="8" t="inlineStr"/>
      <c r="E3" s="8" t="n">
        <v>1</v>
      </c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>
        <f>COUNT(B3:M3)</f>
        <v/>
      </c>
    </row>
    <row r="4">
      <c r="A4" s="8" t="inlineStr">
        <is>
          <t>ARS-K3</t>
        </is>
      </c>
      <c r="B4" s="8" t="inlineStr"/>
      <c r="C4" s="8" t="inlineStr"/>
      <c r="D4" s="8" t="inlineStr"/>
      <c r="E4" s="8" t="n">
        <v>1</v>
      </c>
      <c r="F4" s="8" t="inlineStr"/>
      <c r="G4" s="8" t="n">
        <v>1</v>
      </c>
      <c r="H4" s="8" t="inlineStr"/>
      <c r="I4" s="8" t="inlineStr"/>
      <c r="J4" s="8" t="inlineStr"/>
      <c r="K4" s="8" t="inlineStr"/>
      <c r="L4" s="8" t="inlineStr"/>
      <c r="M4" s="8" t="inlineStr"/>
      <c r="N4" s="8">
        <f>COUNT(B4:M4)</f>
        <v/>
      </c>
    </row>
    <row r="5">
      <c r="A5" s="8" t="inlineStr">
        <is>
          <t>ARS-K4</t>
        </is>
      </c>
      <c r="B5" s="8" t="inlineStr"/>
      <c r="C5" s="8" t="n">
        <v>1</v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>
        <f>COUNT(B5:M5)</f>
        <v/>
      </c>
    </row>
    <row r="6">
      <c r="A6" s="8" t="inlineStr">
        <is>
          <t>ARS-K5</t>
        </is>
      </c>
      <c r="B6" s="8" t="inlineStr"/>
      <c r="C6" s="8" t="inlineStr"/>
      <c r="D6" s="8" t="n">
        <v>1</v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n">
        <v>1</v>
      </c>
      <c r="N6" s="8">
        <f>COUNT(B6:M6)</f>
        <v/>
      </c>
    </row>
    <row r="7">
      <c r="A7" s="8" t="inlineStr">
        <is>
          <t>ARS-K6</t>
        </is>
      </c>
      <c r="B7" s="8" t="inlineStr"/>
      <c r="C7" s="8" t="inlineStr"/>
      <c r="D7" s="8" t="inlineStr"/>
      <c r="E7" s="8" t="n">
        <v>1</v>
      </c>
      <c r="F7" s="8" t="inlineStr"/>
      <c r="G7" s="8" t="n">
        <v>1</v>
      </c>
      <c r="H7" s="8" t="inlineStr"/>
      <c r="I7" s="8" t="inlineStr"/>
      <c r="J7" s="8" t="inlineStr"/>
      <c r="K7" s="8" t="inlineStr"/>
      <c r="L7" s="8" t="inlineStr"/>
      <c r="M7" s="8" t="inlineStr"/>
      <c r="N7" s="8">
        <f>COUNT(B7:M7)</f>
        <v/>
      </c>
    </row>
    <row r="8">
      <c r="A8" s="8" t="inlineStr">
        <is>
          <t>ARS-K7</t>
        </is>
      </c>
      <c r="B8" s="8" t="inlineStr"/>
      <c r="C8" s="8" t="inlineStr"/>
      <c r="D8" s="8" t="inlineStr"/>
      <c r="E8" s="8" t="inlineStr"/>
      <c r="F8" s="8" t="n">
        <v>1</v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>
        <f>COUNT(B8:M8)</f>
        <v/>
      </c>
    </row>
    <row r="9">
      <c r="A9" s="8" t="inlineStr">
        <is>
          <t>ARS-K8</t>
        </is>
      </c>
      <c r="B9" s="8" t="inlineStr"/>
      <c r="C9" s="8" t="inlineStr"/>
      <c r="D9" s="8" t="inlineStr"/>
      <c r="E9" s="8" t="inlineStr"/>
      <c r="F9" s="8" t="inlineStr"/>
      <c r="G9" s="8" t="n">
        <v>1</v>
      </c>
      <c r="H9" s="8" t="inlineStr"/>
      <c r="I9" s="8" t="inlineStr"/>
      <c r="J9" s="8" t="inlineStr"/>
      <c r="K9" s="8" t="inlineStr"/>
      <c r="L9" s="8" t="inlineStr"/>
      <c r="M9" s="8" t="n">
        <v>1</v>
      </c>
      <c r="N9" s="8">
        <f>COUNT(B9:M9)</f>
        <v/>
      </c>
    </row>
    <row r="10">
      <c r="A10" s="8" t="inlineStr">
        <is>
          <t>ARS-K9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n">
        <v>1</v>
      </c>
      <c r="I10" s="8" t="inlineStr"/>
      <c r="J10" s="8" t="inlineStr"/>
      <c r="K10" s="8" t="inlineStr"/>
      <c r="L10" s="8" t="inlineStr"/>
      <c r="M10" s="8" t="inlineStr"/>
      <c r="N10" s="8">
        <f>COUNT(B10:M10)</f>
        <v/>
      </c>
    </row>
    <row r="11">
      <c r="A11" s="8" t="inlineStr">
        <is>
          <t>ARS-K10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n">
        <v>1</v>
      </c>
      <c r="M11" s="8" t="inlineStr"/>
      <c r="N11" s="8">
        <f>COUNT(B11:M11)</f>
        <v/>
      </c>
    </row>
    <row r="12">
      <c r="A12" s="8" t="inlineStr">
        <is>
          <t>ARS-I1</t>
        </is>
      </c>
      <c r="B12" s="8" t="inlineStr"/>
      <c r="C12" s="8" t="n">
        <v>1</v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>
        <f>COUNT(B12:M12)</f>
        <v/>
      </c>
    </row>
    <row r="13">
      <c r="A13" s="8" t="inlineStr">
        <is>
          <t>ARS-I2</t>
        </is>
      </c>
      <c r="B13" s="8" t="inlineStr"/>
      <c r="C13" s="8" t="n">
        <v>1</v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>
        <f>COUNT(B13:M13)</f>
        <v/>
      </c>
    </row>
    <row r="14">
      <c r="A14" s="8" t="inlineStr">
        <is>
          <t>ARS-I3</t>
        </is>
      </c>
      <c r="B14" s="8" t="inlineStr"/>
      <c r="C14" s="8" t="inlineStr"/>
      <c r="D14" s="8" t="n">
        <v>1</v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>
        <f>COUNT(B14:M14)</f>
        <v/>
      </c>
    </row>
    <row r="15">
      <c r="A15" s="8" t="inlineStr">
        <is>
          <t>ARS-I4</t>
        </is>
      </c>
      <c r="B15" s="8" t="inlineStr"/>
      <c r="C15" s="8" t="inlineStr"/>
      <c r="D15" s="8" t="n">
        <v>1</v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n">
        <v>1</v>
      </c>
      <c r="N15" s="8">
        <f>COUNT(B15:M15)</f>
        <v/>
      </c>
    </row>
    <row r="16">
      <c r="A16" s="8" t="inlineStr">
        <is>
          <t>ARS-I5</t>
        </is>
      </c>
      <c r="B16" s="8" t="inlineStr"/>
      <c r="C16" s="8" t="inlineStr"/>
      <c r="D16" s="8" t="inlineStr"/>
      <c r="E16" s="8" t="inlineStr"/>
      <c r="F16" s="8" t="n">
        <v>1</v>
      </c>
      <c r="G16" s="8" t="inlineStr"/>
      <c r="H16" s="8" t="inlineStr"/>
      <c r="I16" s="8" t="n">
        <v>1</v>
      </c>
      <c r="J16" s="8" t="inlineStr"/>
      <c r="K16" s="8" t="inlineStr"/>
      <c r="L16" s="8" t="inlineStr"/>
      <c r="M16" s="8" t="inlineStr"/>
      <c r="N16" s="8">
        <f>COUNT(B16:M16)</f>
        <v/>
      </c>
    </row>
    <row r="17">
      <c r="A17" s="8" t="inlineStr">
        <is>
          <t>ARS-I6</t>
        </is>
      </c>
      <c r="B17" s="8" t="inlineStr"/>
      <c r="C17" s="8" t="inlineStr"/>
      <c r="D17" s="8" t="inlineStr"/>
      <c r="E17" s="8" t="inlineStr"/>
      <c r="F17" s="8" t="n">
        <v>1</v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>
        <f>COUNT(B17:M17)</f>
        <v/>
      </c>
    </row>
    <row r="18">
      <c r="A18" s="8" t="inlineStr">
        <is>
          <t>ARS-I7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n">
        <v>1</v>
      </c>
      <c r="I18" s="8" t="inlineStr"/>
      <c r="J18" s="8" t="inlineStr"/>
      <c r="K18" s="8" t="inlineStr"/>
      <c r="L18" s="8" t="inlineStr"/>
      <c r="M18" s="8" t="n">
        <v>1</v>
      </c>
      <c r="N18" s="8">
        <f>COUNT(B18:M18)</f>
        <v/>
      </c>
    </row>
    <row r="19">
      <c r="A19" s="8" t="inlineStr">
        <is>
          <t>ARS-I8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n">
        <v>1</v>
      </c>
      <c r="J19" s="8" t="inlineStr"/>
      <c r="K19" s="8" t="inlineStr"/>
      <c r="L19" s="8" t="inlineStr"/>
      <c r="M19" s="8" t="inlineStr"/>
      <c r="N19" s="8">
        <f>COUNT(B19:M19)</f>
        <v/>
      </c>
    </row>
    <row r="20">
      <c r="A20" s="8" t="inlineStr">
        <is>
          <t>ARS-P1</t>
        </is>
      </c>
      <c r="B20" s="8" t="inlineStr"/>
      <c r="C20" s="8" t="n">
        <v>1</v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>
        <f>COUNT(B20:M20)</f>
        <v/>
      </c>
    </row>
    <row r="21">
      <c r="A21" s="8" t="inlineStr">
        <is>
          <t>ARS-P2</t>
        </is>
      </c>
      <c r="B21" s="8" t="inlineStr"/>
      <c r="C21" s="8" t="inlineStr"/>
      <c r="D21" s="8" t="n">
        <v>1</v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>
        <f>COUNT(B21:M21)</f>
        <v/>
      </c>
    </row>
    <row r="22">
      <c r="A22" s="8" t="inlineStr">
        <is>
          <t>ARS-P3</t>
        </is>
      </c>
      <c r="B22" s="8" t="inlineStr"/>
      <c r="C22" s="8" t="inlineStr"/>
      <c r="D22" s="8" t="inlineStr"/>
      <c r="E22" s="8" t="n">
        <v>1</v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>
        <f>COUNT(B22:M22)</f>
        <v/>
      </c>
    </row>
    <row r="23">
      <c r="A23" s="8" t="inlineStr">
        <is>
          <t>ARS-P4</t>
        </is>
      </c>
      <c r="B23" s="8" t="inlineStr"/>
      <c r="C23" s="8" t="inlineStr"/>
      <c r="D23" s="8" t="inlineStr"/>
      <c r="E23" s="8" t="n">
        <v>1</v>
      </c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>
        <f>COUNT(B23:M23)</f>
        <v/>
      </c>
    </row>
    <row r="24">
      <c r="A24" s="8" t="inlineStr">
        <is>
          <t>ARS-P5</t>
        </is>
      </c>
      <c r="B24" s="8" t="inlineStr"/>
      <c r="C24" s="8" t="inlineStr"/>
      <c r="D24" s="8" t="inlineStr"/>
      <c r="E24" s="8" t="inlineStr"/>
      <c r="F24" s="8" t="n">
        <v>1</v>
      </c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>
        <f>COUNT(B24:M24)</f>
        <v/>
      </c>
    </row>
    <row r="25">
      <c r="A25" s="8" t="inlineStr">
        <is>
          <t>ARS-P6</t>
        </is>
      </c>
      <c r="B25" s="8" t="inlineStr"/>
      <c r="C25" s="8" t="inlineStr"/>
      <c r="D25" s="8" t="inlineStr"/>
      <c r="E25" s="8" t="inlineStr"/>
      <c r="F25" s="8" t="n">
        <v>1</v>
      </c>
      <c r="G25" s="8" t="n">
        <v>1</v>
      </c>
      <c r="H25" s="8" t="inlineStr"/>
      <c r="I25" s="8" t="inlineStr"/>
      <c r="J25" s="8" t="inlineStr"/>
      <c r="K25" s="8" t="inlineStr"/>
      <c r="L25" s="8" t="inlineStr"/>
      <c r="M25" s="8" t="inlineStr"/>
      <c r="N25" s="8">
        <f>COUNT(B25:M25)</f>
        <v/>
      </c>
    </row>
    <row r="26">
      <c r="A26" s="8" t="inlineStr">
        <is>
          <t>ARS-P7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n">
        <v>1</v>
      </c>
      <c r="I26" s="8" t="inlineStr"/>
      <c r="J26" s="8" t="inlineStr"/>
      <c r="K26" s="8" t="inlineStr"/>
      <c r="L26" s="8" t="inlineStr"/>
      <c r="M26" s="8" t="inlineStr"/>
      <c r="N26" s="8">
        <f>COUNT(B26:M26)</f>
        <v/>
      </c>
    </row>
    <row r="27">
      <c r="A27" s="8" t="inlineStr">
        <is>
          <t>ARS-P8</t>
        </is>
      </c>
      <c r="B27" s="8" t="inlineStr"/>
      <c r="C27" s="8" t="inlineStr"/>
      <c r="D27" s="8" t="inlineStr"/>
      <c r="E27" s="8" t="inlineStr"/>
      <c r="F27" s="8" t="inlineStr"/>
      <c r="G27" s="8" t="n">
        <v>1</v>
      </c>
      <c r="H27" s="8" t="inlineStr"/>
      <c r="I27" s="8" t="inlineStr"/>
      <c r="J27" s="8" t="inlineStr"/>
      <c r="K27" s="8" t="n">
        <v>1</v>
      </c>
      <c r="L27" s="8" t="inlineStr"/>
      <c r="M27" s="8" t="inlineStr"/>
      <c r="N27" s="8">
        <f>COUNT(B27:M27)</f>
        <v/>
      </c>
    </row>
    <row r="28">
      <c r="A28" s="8" t="inlineStr">
        <is>
          <t>ARS-P9</t>
        </is>
      </c>
      <c r="B28" s="8" t="inlineStr"/>
      <c r="C28" s="8" t="inlineStr"/>
      <c r="D28" s="8" t="inlineStr"/>
      <c r="E28" s="8" t="n">
        <v>1</v>
      </c>
      <c r="F28" s="8" t="inlineStr"/>
      <c r="G28" s="8" t="inlineStr"/>
      <c r="H28" s="8" t="inlineStr"/>
      <c r="I28" s="8" t="n">
        <v>1</v>
      </c>
      <c r="J28" s="8" t="inlineStr"/>
      <c r="K28" s="8" t="inlineStr"/>
      <c r="L28" s="8" t="inlineStr"/>
      <c r="M28" s="8" t="inlineStr"/>
      <c r="N28" s="8">
        <f>COUNT(B28:M28)</f>
        <v/>
      </c>
    </row>
    <row r="29">
      <c r="A29" s="8" t="inlineStr">
        <is>
          <t>ARS-P10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n">
        <v>1</v>
      </c>
      <c r="K29" s="8" t="inlineStr"/>
      <c r="L29" s="8" t="inlineStr"/>
      <c r="M29" s="8" t="inlineStr"/>
      <c r="N29" s="8">
        <f>COUNT(B29:M29)</f>
        <v/>
      </c>
    </row>
    <row r="30">
      <c r="A30" s="8" t="inlineStr">
        <is>
          <t>ARS-T1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n">
        <v>1</v>
      </c>
      <c r="K30" s="8" t="inlineStr"/>
      <c r="L30" s="8" t="inlineStr"/>
      <c r="M30" s="8" t="inlineStr"/>
      <c r="N30" s="8">
        <f>COUNT(B30:M30)</f>
        <v/>
      </c>
    </row>
    <row r="31">
      <c r="A31" s="8" t="inlineStr">
        <is>
          <t>ARS-T2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n">
        <v>1</v>
      </c>
      <c r="L31" s="8" t="inlineStr"/>
      <c r="M31" s="8" t="inlineStr"/>
      <c r="N31" s="8">
        <f>COUNT(B31:M31)</f>
        <v/>
      </c>
    </row>
    <row r="32">
      <c r="A32" s="8" t="inlineStr">
        <is>
          <t>ARS-T3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n">
        <v>1</v>
      </c>
      <c r="L32" s="8" t="inlineStr"/>
      <c r="M32" s="8" t="inlineStr"/>
      <c r="N32" s="8">
        <f>COUNT(B32:M32)</f>
        <v/>
      </c>
    </row>
    <row r="33">
      <c r="A33" s="8" t="inlineStr">
        <is>
          <t>ARS-T4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n">
        <v>1</v>
      </c>
      <c r="J33" s="8" t="inlineStr"/>
      <c r="K33" s="8" t="inlineStr"/>
      <c r="L33" s="8" t="inlineStr"/>
      <c r="M33" s="8" t="inlineStr"/>
      <c r="N33" s="8">
        <f>COUNT(B33:M33)</f>
        <v/>
      </c>
    </row>
    <row r="34">
      <c r="A34" s="8" t="inlineStr">
        <is>
          <t>ARS-T5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n">
        <v>1</v>
      </c>
      <c r="M34" s="8" t="inlineStr"/>
      <c r="N34" s="8">
        <f>COUNT(B34:M34)</f>
        <v/>
      </c>
    </row>
    <row r="35">
      <c r="A35" s="8" t="inlineStr">
        <is>
          <t>ARS-T6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n">
        <v>1</v>
      </c>
      <c r="M35" s="8" t="n">
        <v>1</v>
      </c>
      <c r="N35" s="8">
        <f>COUNT(B35:M35)</f>
        <v/>
      </c>
    </row>
    <row r="36">
      <c r="A36" s="9" t="inlineStr">
        <is>
          <t>PLO Coverage Count</t>
        </is>
      </c>
      <c r="B36" s="9">
        <f>COUNT(B2:B35)</f>
        <v/>
      </c>
      <c r="C36" s="9">
        <f>COUNT(C2:C35)</f>
        <v/>
      </c>
      <c r="D36" s="9">
        <f>COUNT(D2:D35)</f>
        <v/>
      </c>
      <c r="E36" s="9">
        <f>COUNT(E2:E35)</f>
        <v/>
      </c>
      <c r="F36" s="9">
        <f>COUNT(F2:F35)</f>
        <v/>
      </c>
      <c r="G36" s="9">
        <f>COUNT(G2:G35)</f>
        <v/>
      </c>
      <c r="H36" s="9">
        <f>COUNT(H2:H35)</f>
        <v/>
      </c>
      <c r="I36" s="9">
        <f>COUNT(I2:I35)</f>
        <v/>
      </c>
      <c r="J36" s="9">
        <f>COUNT(J2:J35)</f>
        <v/>
      </c>
      <c r="K36" s="9">
        <f>COUNT(K2:K35)</f>
        <v/>
      </c>
      <c r="L36" s="9">
        <f>COUNT(L2:L35)</f>
        <v/>
      </c>
      <c r="M36" s="9">
        <f>COUNT(M2:M35)</f>
        <v/>
      </c>
      <c r="N36" s="9">
        <f>SUM(N2:N35)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0" t="inlineStr">
        <is>
          <t>ARS–PLO Coverage Summary</t>
        </is>
      </c>
      <c r="B1" s="10" t="inlineStr">
        <is>
          <t>Value</t>
        </is>
      </c>
    </row>
    <row r="2">
      <c r="A2" t="inlineStr">
        <is>
          <t>Total ARS statements</t>
        </is>
      </c>
      <c r="B2">
        <f>COUNTA(ARS_to_PLO!A2:A35)</f>
        <v/>
      </c>
    </row>
    <row r="3">
      <c r="A3" t="inlineStr">
        <is>
          <t>Mapped ARS statements</t>
        </is>
      </c>
      <c r="B3">
        <f>COUNTIF(ARS_to_PLO!E2:E35,"Full")</f>
        <v/>
      </c>
    </row>
    <row r="4">
      <c r="A4" t="inlineStr">
        <is>
          <t>ARS coverage percentage</t>
        </is>
      </c>
      <c r="B4" s="11">
        <f>B3/B2</f>
        <v/>
      </c>
    </row>
    <row r="5">
      <c r="A5" t="inlineStr">
        <is>
          <t>Total proposed PLOs</t>
        </is>
      </c>
      <c r="B5" t="n">
        <v>12</v>
      </c>
    </row>
    <row r="6">
      <c r="A6" t="inlineStr">
        <is>
          <t>PLOs with at least one ARS link</t>
        </is>
      </c>
      <c r="B6">
        <f>COUNTIF(Coverage_Map!B36:M36,"&gt;0")</f>
        <v/>
      </c>
    </row>
    <row r="7">
      <c r="A7" t="inlineStr">
        <is>
          <t>PLO coverage percentage</t>
        </is>
      </c>
      <c r="B7" s="11">
        <f>B6/B5</f>
        <v/>
      </c>
    </row>
    <row r="8">
      <c r="A8" t="inlineStr">
        <is>
          <t>Unmapped ARS statements</t>
        </is>
      </c>
      <c r="B8">
        <f>B2-B3</f>
        <v/>
      </c>
    </row>
    <row r="9">
      <c r="A9" t="inlineStr">
        <is>
          <t>Uncovered PLOs</t>
        </is>
      </c>
      <c r="B9">
        <f>B5-B6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2" t="inlineStr">
        <is>
          <t>Item</t>
        </is>
      </c>
      <c r="B1" s="12" t="inlineStr">
        <is>
          <t>Instruction</t>
        </is>
      </c>
    </row>
    <row r="2">
      <c r="A2" s="3" t="inlineStr">
        <is>
          <t>Status</t>
        </is>
      </c>
      <c r="B2" s="3" t="inlineStr">
        <is>
          <t>Working draft for program committee review; not an approved PLO document.</t>
        </is>
      </c>
    </row>
    <row r="3">
      <c r="A3" s="3" t="inlineStr">
        <is>
          <t>Step 1</t>
        </is>
      </c>
      <c r="B3" s="3" t="inlineStr">
        <is>
          <t>Compare the proposed PLO register with the formally approved Program Specification.</t>
        </is>
      </c>
    </row>
    <row r="4">
      <c r="A4" s="3" t="inlineStr">
        <is>
          <t>Step 2</t>
        </is>
      </c>
      <c r="B4" s="3" t="inlineStr">
        <is>
          <t>Replace PLO codes and wording where necessary without paraphrasing approved outcomes.</t>
        </is>
      </c>
    </row>
    <row r="5">
      <c r="A5" s="3" t="inlineStr">
        <is>
          <t>Step 3</t>
        </is>
      </c>
      <c r="B5" s="3" t="inlineStr">
        <is>
          <t>Review every ARS-to-PLO mapping and change Full to Partial or Unmapped where justified.</t>
        </is>
      </c>
    </row>
    <row r="6">
      <c r="A6" s="3" t="inlineStr">
        <is>
          <t>Step 4</t>
        </is>
      </c>
      <c r="B6" s="3" t="inlineStr">
        <is>
          <t>Record gaps and corrective actions, owners, and deadlines.</t>
        </is>
      </c>
    </row>
    <row r="7">
      <c r="A7" s="3" t="inlineStr">
        <is>
          <t>Step 5</t>
        </is>
      </c>
      <c r="B7" s="3" t="inlineStr">
        <is>
          <t>Approve the final matrix through the applicable institutional councils.</t>
        </is>
      </c>
    </row>
    <row r="8">
      <c r="A8" s="3" t="inlineStr">
        <is>
          <t>Relationship</t>
        </is>
      </c>
      <c r="B8" s="3" t="inlineStr">
        <is>
          <t>This matrix supports Task 2/3/4 and should remain consistent with the NARS–ARS and NARS–PLO matrices.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Software Engineering ARS to PLO Alignment Matrix - Draft</dc:title>
  <dc:subject xmlns:dc="http://purl.org/dc/elements/1.1/">Working matrix linking 34 Software Engineering ARS statements to 12 proposed PLOs</dc:subject>
  <dcterms:created xmlns:dcterms="http://purl.org/dc/terms/" xmlns:xsi="http://www.w3.org/2001/XMLSchema-instance" xsi:type="dcterms:W3CDTF">2026-10-16T14:13:13Z</dcterms:created>
  <dcterms:modified xmlns:dcterms="http://purl.org/dc/terms/" xmlns:xsi="http://www.w3.org/2001/XMLSchema-instance" xsi:type="dcterms:W3CDTF">2026-10-16T14:13:13Z</dcterms:modified>
</cp:coreProperties>
</file>