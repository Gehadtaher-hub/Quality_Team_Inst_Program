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11_51A0C33A84FC5E36D2156B71C08C78CDBBD7C77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 Tracker" sheetId="1" r:id="rId1"/>
    <sheet name="Dashboard" sheetId="2" r:id="rId2"/>
    <sheet name="Evidence Register" sheetId="3" r:id="rId3"/>
    <sheet name="Gap Register" sheetId="4" r:id="rId4"/>
    <sheet name="Meetings" sheetId="5" r:id="rId5"/>
    <sheet name="Team" sheetId="6" r:id="rId6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C6" i="2"/>
  <c r="B6" i="2"/>
  <c r="C5" i="2"/>
  <c r="B5" i="2"/>
  <c r="C4" i="2"/>
  <c r="B4" i="2"/>
</calcChain>
</file>

<file path=xl/sharedStrings.xml><?xml version="1.0" encoding="utf-8"?>
<sst xmlns="http://schemas.openxmlformats.org/spreadsheetml/2006/main" count="528" uniqueCount="128">
  <si>
    <t>ID</t>
  </si>
  <si>
    <t>المؤشر</t>
  </si>
  <si>
    <t>المهمة التشغيلية</t>
  </si>
  <si>
    <t>المسؤول</t>
  </si>
  <si>
    <t>المراجع</t>
  </si>
  <si>
    <t>جهة الاعتماد</t>
  </si>
  <si>
    <t>الحالة</t>
  </si>
  <si>
    <t>الإنجاز %</t>
  </si>
  <si>
    <t>الأولوية</t>
  </si>
  <si>
    <t>الموعد</t>
  </si>
  <si>
    <t>الدليل المطلوب</t>
  </si>
  <si>
    <t>الفجوة/المتبقي</t>
  </si>
  <si>
    <t>التوافق</t>
  </si>
  <si>
    <t>I7.1-T01</t>
  </si>
  <si>
    <t>I7.1 المعايير الأكاديمية المرجعية</t>
  </si>
  <si>
    <t>حصر المعايير المرجعية لكل برنامج</t>
  </si>
  <si>
    <t>M1</t>
  </si>
  <si>
    <t>منسق المعيار ووحدة الجودة</t>
  </si>
  <si>
    <t>المجلس الحاكم المختص</t>
  </si>
  <si>
    <t>لم تبدأ</t>
  </si>
  <si>
    <t>مرتفعة</t>
  </si>
  <si>
    <t>غير محدد</t>
  </si>
  <si>
    <t>محضر/قرار/وثيقة أو رابط داعم</t>
  </si>
  <si>
    <t>استكمال التنفيذ والأدلة</t>
  </si>
  <si>
    <t>غير متحقق</t>
  </si>
  <si>
    <t>I7.1-T02</t>
  </si>
  <si>
    <t>التحقق من المصدر والإصدار الرسمي</t>
  </si>
  <si>
    <t>I7.1-T03</t>
  </si>
  <si>
    <t>تحليل التوافق مع رسالة المؤسسة وأهدافها</t>
  </si>
  <si>
    <t>M2</t>
  </si>
  <si>
    <t>I7.1-T04</t>
  </si>
  <si>
    <t>عرض ومناقشة المعايير في الأقسام واللجان</t>
  </si>
  <si>
    <t>M3</t>
  </si>
  <si>
    <t>I7.1-T05</t>
  </si>
  <si>
    <t>اعتماد المعايير بالمجالس الرسمية</t>
  </si>
  <si>
    <t>M4</t>
  </si>
  <si>
    <t>I7.1-T06</t>
  </si>
  <si>
    <t>إنشاء سجل البرامج والمعايير وتواريخ الاعتماد</t>
  </si>
  <si>
    <t>M5</t>
  </si>
  <si>
    <t>I7.2-T07</t>
  </si>
  <si>
    <t>I7.2 ملاءمة البرامج لسوق العمل</t>
  </si>
  <si>
    <t>تحديد آلية دورية لدراسة سوق العمل</t>
  </si>
  <si>
    <t>I7.2-T08</t>
  </si>
  <si>
    <t>جمع آراء جهات التوظيف</t>
  </si>
  <si>
    <t>I7.2-T09</t>
  </si>
  <si>
    <t>جمع آراء الخريجين والطلاب والهيئة التدريسية</t>
  </si>
  <si>
    <t>I7.2-T10</t>
  </si>
  <si>
    <t>إجراء مقارنة مرجعية مع برامج مناظرة</t>
  </si>
  <si>
    <t>I7.2-T11</t>
  </si>
  <si>
    <t>تحليل النتائج وتحديد فجوات البرامج</t>
  </si>
  <si>
    <t>I7.2-T12</t>
  </si>
  <si>
    <t>إعداد مقترحات الاستحداث أو التطوير</t>
  </si>
  <si>
    <t>I7.2-T13</t>
  </si>
  <si>
    <t>اعتماد إجراءات التطوير ومتابعة الأثر</t>
  </si>
  <si>
    <t>I7.2-T14</t>
  </si>
  <si>
    <t>تحديث سجل آخر مراجعة لكل برنامج</t>
  </si>
  <si>
    <t>I7.3-T15</t>
  </si>
  <si>
    <t>I7.3 توصيف البرامج والنواتج</t>
  </si>
  <si>
    <t>حصر توصيفات البرامج وحالة اعتمادها</t>
  </si>
  <si>
    <t>I7.3-T16</t>
  </si>
  <si>
    <t>مراجعة مطابقة التوصيف للنموذج الساري</t>
  </si>
  <si>
    <t>I7.3-T17</t>
  </si>
  <si>
    <t>مراجعة نواتج التعلم لكل برنامج</t>
  </si>
  <si>
    <t>I7.3-T18</t>
  </si>
  <si>
    <t>إعداد مصفوفة اتساق النواتج مع NARS أو ARS</t>
  </si>
  <si>
    <t>I7.3-T19</t>
  </si>
  <si>
    <t>اعتماد التوصيفات والمصفوفات وإعلانها</t>
  </si>
  <si>
    <t>I7.4-T20</t>
  </si>
  <si>
    <t>I7.4 اتساق المقررات وطرق التعليم والتقييم</t>
  </si>
  <si>
    <t>حصر توصيفات المقررات وحالة اعتمادها</t>
  </si>
  <si>
    <t>I7.4-T21</t>
  </si>
  <si>
    <t>إعداد مصفوفة البرنامج مع المقررات</t>
  </si>
  <si>
    <t>I7.4-T22</t>
  </si>
  <si>
    <t>مراجعة اتساق نواتج المقررات مع البرنامج</t>
  </si>
  <si>
    <t>I7.4-T23</t>
  </si>
  <si>
    <t>مراجعة ربط طرق التعليم والتعلم بالنواتج</t>
  </si>
  <si>
    <t>I7.4-T24</t>
  </si>
  <si>
    <t>مراجعة ربط طرق التقييم بالنواتج</t>
  </si>
  <si>
    <t>I7.4-T25</t>
  </si>
  <si>
    <t>تحليل فجوات التغطية والتكرار</t>
  </si>
  <si>
    <t>I7.4-T26</t>
  </si>
  <si>
    <t>اعتماد خطة معالجة الفجوات</t>
  </si>
  <si>
    <t>I7.5-T27</t>
  </si>
  <si>
    <t>I7.5 المراجعة الدورية</t>
  </si>
  <si>
    <t>اعتماد سياسة وآلية المراجعة الدورية</t>
  </si>
  <si>
    <t>I7.5-T28</t>
  </si>
  <si>
    <t>إعداد الخطة والجدول الزمني للمراجعات</t>
  </si>
  <si>
    <t>I7.5-T29</t>
  </si>
  <si>
    <t>اختيار المراجعين وإثبات عدم تعارض المصالح</t>
  </si>
  <si>
    <t>I7.5-T30</t>
  </si>
  <si>
    <t>تنفيذ المراجعات الداخلية والخارجية</t>
  </si>
  <si>
    <t>I7.5-T31</t>
  </si>
  <si>
    <t>تحليل التقارير وإعداد استجابات البرامج</t>
  </si>
  <si>
    <t>I7.5-T32</t>
  </si>
  <si>
    <t>متابعة إغلاق الملاحظات وتوثيق الأثر</t>
  </si>
  <si>
    <t>I7.6-T33</t>
  </si>
  <si>
    <t>I7.6 التقارير والتحسين</t>
  </si>
  <si>
    <t>حصر تقارير المقررات والبرامج</t>
  </si>
  <si>
    <t>I7.6-T34</t>
  </si>
  <si>
    <t>مراجعة اكتمال تقارير المقررات</t>
  </si>
  <si>
    <t>I7.6-T35</t>
  </si>
  <si>
    <t>إعداد وتجميع تقرير كل برنامج</t>
  </si>
  <si>
    <t>I7.6-T36</t>
  </si>
  <si>
    <t>تحليل النتائج ونسب النجاح وآراء الطلاب</t>
  </si>
  <si>
    <t>I7.6-T37</t>
  </si>
  <si>
    <t>إعداد خطط تحسين بمسؤوليات وأزمنة</t>
  </si>
  <si>
    <t>I7.6-T38</t>
  </si>
  <si>
    <t>اعتماد خطط التحسين</t>
  </si>
  <si>
    <t>I7.6-T39</t>
  </si>
  <si>
    <t>متابعة التنفيذ وقياس المردود</t>
  </si>
  <si>
    <t>I7.6-T40</t>
  </si>
  <si>
    <t>إطلاع الأطراف المعنية وفهرسة الأدلة</t>
  </si>
  <si>
    <t>المعيار السابع المؤسسي</t>
  </si>
  <si>
    <t>عدد المهام</t>
  </si>
  <si>
    <t>متوسط الإنجاز</t>
  </si>
  <si>
    <t>الكود</t>
  </si>
  <si>
    <t>Task ID</t>
  </si>
  <si>
    <t>الدليل</t>
  </si>
  <si>
    <t>الرابط</t>
  </si>
  <si>
    <t>تاريخ المراجعة</t>
  </si>
  <si>
    <t>الفجوة</t>
  </si>
  <si>
    <t>الخطورة</t>
  </si>
  <si>
    <t>الإجراء</t>
  </si>
  <si>
    <t>التاريخ</t>
  </si>
  <si>
    <t>النوع</t>
  </si>
  <si>
    <t>القرارات</t>
  </si>
  <si>
    <t>الاسم</t>
  </si>
  <si>
    <t>الدور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</si>
</sst>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7365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" displayName="Tracker" ref="A1:M41">
  <autoFilter ref="A1:M41" xr:uid="{00000000-0009-0000-0100-000001000000}"/>
  <tableColumns count="13">
    <tableColumn id="1" xr3:uid="{00000000-0010-0000-0000-000001000000}" name="ID"/>
    <tableColumn id="2" xr3:uid="{00000000-0010-0000-0000-000002000000}" name="المؤشر"/>
    <tableColumn id="3" xr3:uid="{00000000-0010-0000-0000-000003000000}" name="المهمة التشغيلية"/>
    <tableColumn id="4" xr3:uid="{00000000-0010-0000-0000-000004000000}" name="المسؤول"/>
    <tableColumn id="5" xr3:uid="{00000000-0010-0000-0000-000005000000}" name="المراجع"/>
    <tableColumn id="6" xr3:uid="{00000000-0010-0000-0000-000006000000}" name="جهة الاعتماد"/>
    <tableColumn id="7" xr3:uid="{00000000-0010-0000-0000-000007000000}" name="الحالة"/>
    <tableColumn id="8" xr3:uid="{00000000-0010-0000-0000-000008000000}" name="الإنجاز %"/>
    <tableColumn id="9" xr3:uid="{00000000-0010-0000-0000-000009000000}" name="الأولوية"/>
    <tableColumn id="10" xr3:uid="{00000000-0010-0000-0000-00000A000000}" name="الموعد"/>
    <tableColumn id="11" xr3:uid="{00000000-0010-0000-0000-00000B000000}" name="الدليل المطلوب"/>
    <tableColumn id="12" xr3:uid="{00000000-0010-0000-0000-00000C000000}" name="الفجوة/المتبقي"/>
    <tableColumn id="13" xr3:uid="{00000000-0010-0000-0000-00000D000000}" name="التواف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4" customWidth="1"/>
    <col min="3" max="3" width="45" customWidth="1"/>
    <col min="4" max="4" width="14" customWidth="1"/>
    <col min="5" max="5" width="26" customWidth="1"/>
    <col min="6" max="6" width="25" customWidth="1"/>
    <col min="7" max="7" width="18" customWidth="1"/>
    <col min="8" max="9" width="12" customWidth="1"/>
    <col min="10" max="10" width="14" customWidth="1"/>
    <col min="11" max="11" width="38" customWidth="1"/>
    <col min="12" max="12" width="35" customWidth="1"/>
    <col min="13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14</v>
      </c>
      <c r="C3" s="2" t="s">
        <v>26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0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</row>
    <row r="4" spans="1:13">
      <c r="A4" s="2" t="s">
        <v>27</v>
      </c>
      <c r="B4" s="2" t="s">
        <v>14</v>
      </c>
      <c r="C4" s="2" t="s">
        <v>28</v>
      </c>
      <c r="D4" s="2" t="s">
        <v>29</v>
      </c>
      <c r="E4" s="2" t="s">
        <v>17</v>
      </c>
      <c r="F4" s="2" t="s">
        <v>18</v>
      </c>
      <c r="G4" s="2" t="s">
        <v>19</v>
      </c>
      <c r="H4" s="2">
        <v>0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</row>
    <row r="5" spans="1:13">
      <c r="A5" s="2" t="s">
        <v>30</v>
      </c>
      <c r="B5" s="2" t="s">
        <v>14</v>
      </c>
      <c r="C5" s="2" t="s">
        <v>31</v>
      </c>
      <c r="D5" s="2" t="s">
        <v>32</v>
      </c>
      <c r="E5" s="2" t="s">
        <v>17</v>
      </c>
      <c r="F5" s="2" t="s">
        <v>18</v>
      </c>
      <c r="G5" s="2" t="s">
        <v>19</v>
      </c>
      <c r="H5" s="2">
        <v>0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</row>
    <row r="6" spans="1:13">
      <c r="A6" s="2" t="s">
        <v>33</v>
      </c>
      <c r="B6" s="2" t="s">
        <v>14</v>
      </c>
      <c r="C6" s="2" t="s">
        <v>34</v>
      </c>
      <c r="D6" s="2" t="s">
        <v>35</v>
      </c>
      <c r="E6" s="2" t="s">
        <v>17</v>
      </c>
      <c r="F6" s="2" t="s">
        <v>18</v>
      </c>
      <c r="G6" s="2" t="s">
        <v>19</v>
      </c>
      <c r="H6" s="2">
        <v>0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</row>
    <row r="7" spans="1:13">
      <c r="A7" s="2" t="s">
        <v>36</v>
      </c>
      <c r="B7" s="2" t="s">
        <v>14</v>
      </c>
      <c r="C7" s="2" t="s">
        <v>37</v>
      </c>
      <c r="D7" s="2" t="s">
        <v>38</v>
      </c>
      <c r="E7" s="2" t="s">
        <v>17</v>
      </c>
      <c r="F7" s="2" t="s">
        <v>18</v>
      </c>
      <c r="G7" s="2" t="s">
        <v>19</v>
      </c>
      <c r="H7" s="2">
        <v>0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</row>
    <row r="8" spans="1:13">
      <c r="A8" s="2" t="s">
        <v>39</v>
      </c>
      <c r="B8" s="2" t="s">
        <v>40</v>
      </c>
      <c r="C8" s="2" t="s">
        <v>41</v>
      </c>
      <c r="D8" s="2" t="s">
        <v>16</v>
      </c>
      <c r="E8" s="2" t="s">
        <v>17</v>
      </c>
      <c r="F8" s="2" t="s">
        <v>18</v>
      </c>
      <c r="G8" s="2" t="s">
        <v>19</v>
      </c>
      <c r="H8" s="2">
        <v>0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</row>
    <row r="9" spans="1:13">
      <c r="A9" s="2" t="s">
        <v>42</v>
      </c>
      <c r="B9" s="2" t="s">
        <v>40</v>
      </c>
      <c r="C9" s="2" t="s">
        <v>43</v>
      </c>
      <c r="D9" s="2" t="s">
        <v>29</v>
      </c>
      <c r="E9" s="2" t="s">
        <v>17</v>
      </c>
      <c r="F9" s="2" t="s">
        <v>18</v>
      </c>
      <c r="G9" s="2" t="s">
        <v>19</v>
      </c>
      <c r="H9" s="2">
        <v>0</v>
      </c>
      <c r="I9" s="2" t="s">
        <v>20</v>
      </c>
      <c r="J9" s="2" t="s">
        <v>21</v>
      </c>
      <c r="K9" s="2" t="s">
        <v>22</v>
      </c>
      <c r="L9" s="2" t="s">
        <v>23</v>
      </c>
      <c r="M9" s="2" t="s">
        <v>24</v>
      </c>
    </row>
    <row r="10" spans="1:13">
      <c r="A10" s="2" t="s">
        <v>44</v>
      </c>
      <c r="B10" s="2" t="s">
        <v>40</v>
      </c>
      <c r="C10" s="2" t="s">
        <v>45</v>
      </c>
      <c r="D10" s="2" t="s">
        <v>32</v>
      </c>
      <c r="E10" s="2" t="s">
        <v>17</v>
      </c>
      <c r="F10" s="2" t="s">
        <v>18</v>
      </c>
      <c r="G10" s="2" t="s">
        <v>19</v>
      </c>
      <c r="H10" s="2">
        <v>0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</row>
    <row r="11" spans="1:13">
      <c r="A11" s="2" t="s">
        <v>46</v>
      </c>
      <c r="B11" s="2" t="s">
        <v>40</v>
      </c>
      <c r="C11" s="2" t="s">
        <v>47</v>
      </c>
      <c r="D11" s="2" t="s">
        <v>35</v>
      </c>
      <c r="E11" s="2" t="s">
        <v>17</v>
      </c>
      <c r="F11" s="2" t="s">
        <v>18</v>
      </c>
      <c r="G11" s="2" t="s">
        <v>19</v>
      </c>
      <c r="H11" s="2">
        <v>0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</row>
    <row r="12" spans="1:13">
      <c r="A12" s="2" t="s">
        <v>48</v>
      </c>
      <c r="B12" s="2" t="s">
        <v>40</v>
      </c>
      <c r="C12" s="2" t="s">
        <v>49</v>
      </c>
      <c r="D12" s="2" t="s">
        <v>29</v>
      </c>
      <c r="E12" s="2" t="s">
        <v>17</v>
      </c>
      <c r="F12" s="2" t="s">
        <v>18</v>
      </c>
      <c r="G12" s="2" t="s">
        <v>19</v>
      </c>
      <c r="H12" s="2">
        <v>0</v>
      </c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24</v>
      </c>
    </row>
    <row r="13" spans="1:13">
      <c r="A13" s="2" t="s">
        <v>50</v>
      </c>
      <c r="B13" s="2" t="s">
        <v>40</v>
      </c>
      <c r="C13" s="2" t="s">
        <v>51</v>
      </c>
      <c r="D13" s="2" t="s">
        <v>32</v>
      </c>
      <c r="E13" s="2" t="s">
        <v>17</v>
      </c>
      <c r="F13" s="2" t="s">
        <v>18</v>
      </c>
      <c r="G13" s="2" t="s">
        <v>19</v>
      </c>
      <c r="H13" s="2">
        <v>0</v>
      </c>
      <c r="I13" s="2" t="s">
        <v>20</v>
      </c>
      <c r="J13" s="2" t="s">
        <v>21</v>
      </c>
      <c r="K13" s="2" t="s">
        <v>22</v>
      </c>
      <c r="L13" s="2" t="s">
        <v>23</v>
      </c>
      <c r="M13" s="2" t="s">
        <v>24</v>
      </c>
    </row>
    <row r="14" spans="1:13">
      <c r="A14" s="2" t="s">
        <v>52</v>
      </c>
      <c r="B14" s="2" t="s">
        <v>40</v>
      </c>
      <c r="C14" s="2" t="s">
        <v>53</v>
      </c>
      <c r="D14" s="2" t="s">
        <v>38</v>
      </c>
      <c r="E14" s="2" t="s">
        <v>17</v>
      </c>
      <c r="F14" s="2" t="s">
        <v>18</v>
      </c>
      <c r="G14" s="2" t="s">
        <v>19</v>
      </c>
      <c r="H14" s="2">
        <v>0</v>
      </c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24</v>
      </c>
    </row>
    <row r="15" spans="1:13">
      <c r="A15" s="2" t="s">
        <v>54</v>
      </c>
      <c r="B15" s="2" t="s">
        <v>40</v>
      </c>
      <c r="C15" s="2" t="s">
        <v>55</v>
      </c>
      <c r="D15" s="2" t="s">
        <v>16</v>
      </c>
      <c r="E15" s="2" t="s">
        <v>17</v>
      </c>
      <c r="F15" s="2" t="s">
        <v>18</v>
      </c>
      <c r="G15" s="2" t="s">
        <v>19</v>
      </c>
      <c r="H15" s="2">
        <v>0</v>
      </c>
      <c r="I15" s="2" t="s">
        <v>20</v>
      </c>
      <c r="J15" s="2" t="s">
        <v>21</v>
      </c>
      <c r="K15" s="2" t="s">
        <v>22</v>
      </c>
      <c r="L15" s="2" t="s">
        <v>23</v>
      </c>
      <c r="M15" s="2" t="s">
        <v>24</v>
      </c>
    </row>
    <row r="16" spans="1:13">
      <c r="A16" s="2" t="s">
        <v>56</v>
      </c>
      <c r="B16" s="2" t="s">
        <v>57</v>
      </c>
      <c r="C16" s="2" t="s">
        <v>58</v>
      </c>
      <c r="D16" s="2" t="s">
        <v>16</v>
      </c>
      <c r="E16" s="2" t="s">
        <v>17</v>
      </c>
      <c r="F16" s="2" t="s">
        <v>18</v>
      </c>
      <c r="G16" s="2" t="s">
        <v>19</v>
      </c>
      <c r="H16" s="2">
        <v>0</v>
      </c>
      <c r="I16" s="2" t="s">
        <v>20</v>
      </c>
      <c r="J16" s="2" t="s">
        <v>21</v>
      </c>
      <c r="K16" s="2" t="s">
        <v>22</v>
      </c>
      <c r="L16" s="2" t="s">
        <v>23</v>
      </c>
      <c r="M16" s="2" t="s">
        <v>24</v>
      </c>
    </row>
    <row r="17" spans="1:13">
      <c r="A17" s="2" t="s">
        <v>59</v>
      </c>
      <c r="B17" s="2" t="s">
        <v>57</v>
      </c>
      <c r="C17" s="2" t="s">
        <v>60</v>
      </c>
      <c r="D17" s="2" t="s">
        <v>29</v>
      </c>
      <c r="E17" s="2" t="s">
        <v>17</v>
      </c>
      <c r="F17" s="2" t="s">
        <v>18</v>
      </c>
      <c r="G17" s="2" t="s">
        <v>19</v>
      </c>
      <c r="H17" s="2">
        <v>0</v>
      </c>
      <c r="I17" s="2" t="s">
        <v>20</v>
      </c>
      <c r="J17" s="2" t="s">
        <v>21</v>
      </c>
      <c r="K17" s="2" t="s">
        <v>22</v>
      </c>
      <c r="L17" s="2" t="s">
        <v>23</v>
      </c>
      <c r="M17" s="2" t="s">
        <v>24</v>
      </c>
    </row>
    <row r="18" spans="1:13">
      <c r="A18" s="2" t="s">
        <v>61</v>
      </c>
      <c r="B18" s="2" t="s">
        <v>57</v>
      </c>
      <c r="C18" s="2" t="s">
        <v>62</v>
      </c>
      <c r="D18" s="2" t="s">
        <v>32</v>
      </c>
      <c r="E18" s="2" t="s">
        <v>17</v>
      </c>
      <c r="F18" s="2" t="s">
        <v>18</v>
      </c>
      <c r="G18" s="2" t="s">
        <v>19</v>
      </c>
      <c r="H18" s="2">
        <v>0</v>
      </c>
      <c r="I18" s="2" t="s">
        <v>20</v>
      </c>
      <c r="J18" s="2" t="s">
        <v>21</v>
      </c>
      <c r="K18" s="2" t="s">
        <v>22</v>
      </c>
      <c r="L18" s="2" t="s">
        <v>23</v>
      </c>
      <c r="M18" s="2" t="s">
        <v>24</v>
      </c>
    </row>
    <row r="19" spans="1:13">
      <c r="A19" s="2" t="s">
        <v>63</v>
      </c>
      <c r="B19" s="2" t="s">
        <v>57</v>
      </c>
      <c r="C19" s="2" t="s">
        <v>64</v>
      </c>
      <c r="D19" s="2" t="s">
        <v>35</v>
      </c>
      <c r="E19" s="2" t="s">
        <v>17</v>
      </c>
      <c r="F19" s="2" t="s">
        <v>18</v>
      </c>
      <c r="G19" s="2" t="s">
        <v>19</v>
      </c>
      <c r="H19" s="2">
        <v>0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</row>
    <row r="20" spans="1:13">
      <c r="A20" s="2" t="s">
        <v>65</v>
      </c>
      <c r="B20" s="2" t="s">
        <v>57</v>
      </c>
      <c r="C20" s="2" t="s">
        <v>66</v>
      </c>
      <c r="D20" s="2" t="s">
        <v>38</v>
      </c>
      <c r="E20" s="2" t="s">
        <v>17</v>
      </c>
      <c r="F20" s="2" t="s">
        <v>18</v>
      </c>
      <c r="G20" s="2" t="s">
        <v>19</v>
      </c>
      <c r="H20" s="2">
        <v>0</v>
      </c>
      <c r="I20" s="2" t="s">
        <v>20</v>
      </c>
      <c r="J20" s="2" t="s">
        <v>21</v>
      </c>
      <c r="K20" s="2" t="s">
        <v>22</v>
      </c>
      <c r="L20" s="2" t="s">
        <v>23</v>
      </c>
      <c r="M20" s="2" t="s">
        <v>24</v>
      </c>
    </row>
    <row r="21" spans="1:13">
      <c r="A21" s="2" t="s">
        <v>67</v>
      </c>
      <c r="B21" s="2" t="s">
        <v>68</v>
      </c>
      <c r="C21" s="2" t="s">
        <v>69</v>
      </c>
      <c r="D21" s="2" t="s">
        <v>16</v>
      </c>
      <c r="E21" s="2" t="s">
        <v>17</v>
      </c>
      <c r="F21" s="2" t="s">
        <v>18</v>
      </c>
      <c r="G21" s="2" t="s">
        <v>19</v>
      </c>
      <c r="H21" s="2">
        <v>0</v>
      </c>
      <c r="I21" s="2" t="s">
        <v>20</v>
      </c>
      <c r="J21" s="2" t="s">
        <v>21</v>
      </c>
      <c r="K21" s="2" t="s">
        <v>22</v>
      </c>
      <c r="L21" s="2" t="s">
        <v>23</v>
      </c>
      <c r="M21" s="2" t="s">
        <v>24</v>
      </c>
    </row>
    <row r="22" spans="1:13">
      <c r="A22" s="2" t="s">
        <v>70</v>
      </c>
      <c r="B22" s="2" t="s">
        <v>68</v>
      </c>
      <c r="C22" s="2" t="s">
        <v>71</v>
      </c>
      <c r="D22" s="2" t="s">
        <v>29</v>
      </c>
      <c r="E22" s="2" t="s">
        <v>17</v>
      </c>
      <c r="F22" s="2" t="s">
        <v>18</v>
      </c>
      <c r="G22" s="2" t="s">
        <v>19</v>
      </c>
      <c r="H22" s="2">
        <v>0</v>
      </c>
      <c r="I22" s="2" t="s">
        <v>20</v>
      </c>
      <c r="J22" s="2" t="s">
        <v>21</v>
      </c>
      <c r="K22" s="2" t="s">
        <v>22</v>
      </c>
      <c r="L22" s="2" t="s">
        <v>23</v>
      </c>
      <c r="M22" s="2" t="s">
        <v>24</v>
      </c>
    </row>
    <row r="23" spans="1:13">
      <c r="A23" s="2" t="s">
        <v>72</v>
      </c>
      <c r="B23" s="2" t="s">
        <v>68</v>
      </c>
      <c r="C23" s="2" t="s">
        <v>73</v>
      </c>
      <c r="D23" s="2" t="s">
        <v>32</v>
      </c>
      <c r="E23" s="2" t="s">
        <v>17</v>
      </c>
      <c r="F23" s="2" t="s">
        <v>18</v>
      </c>
      <c r="G23" s="2" t="s">
        <v>19</v>
      </c>
      <c r="H23" s="2">
        <v>0</v>
      </c>
      <c r="I23" s="2" t="s">
        <v>20</v>
      </c>
      <c r="J23" s="2" t="s">
        <v>21</v>
      </c>
      <c r="K23" s="2" t="s">
        <v>22</v>
      </c>
      <c r="L23" s="2" t="s">
        <v>23</v>
      </c>
      <c r="M23" s="2" t="s">
        <v>24</v>
      </c>
    </row>
    <row r="24" spans="1:13">
      <c r="A24" s="2" t="s">
        <v>74</v>
      </c>
      <c r="B24" s="2" t="s">
        <v>68</v>
      </c>
      <c r="C24" s="2" t="s">
        <v>75</v>
      </c>
      <c r="D24" s="2" t="s">
        <v>35</v>
      </c>
      <c r="E24" s="2" t="s">
        <v>17</v>
      </c>
      <c r="F24" s="2" t="s">
        <v>18</v>
      </c>
      <c r="G24" s="2" t="s">
        <v>19</v>
      </c>
      <c r="H24" s="2">
        <v>0</v>
      </c>
      <c r="I24" s="2" t="s">
        <v>20</v>
      </c>
      <c r="J24" s="2" t="s">
        <v>21</v>
      </c>
      <c r="K24" s="2" t="s">
        <v>22</v>
      </c>
      <c r="L24" s="2" t="s">
        <v>23</v>
      </c>
      <c r="M24" s="2" t="s">
        <v>24</v>
      </c>
    </row>
    <row r="25" spans="1:13">
      <c r="A25" s="2" t="s">
        <v>76</v>
      </c>
      <c r="B25" s="2" t="s">
        <v>68</v>
      </c>
      <c r="C25" s="2" t="s">
        <v>77</v>
      </c>
      <c r="D25" s="2" t="s">
        <v>35</v>
      </c>
      <c r="E25" s="2" t="s">
        <v>17</v>
      </c>
      <c r="F25" s="2" t="s">
        <v>18</v>
      </c>
      <c r="G25" s="2" t="s">
        <v>19</v>
      </c>
      <c r="H25" s="2">
        <v>0</v>
      </c>
      <c r="I25" s="2" t="s">
        <v>20</v>
      </c>
      <c r="J25" s="2" t="s">
        <v>21</v>
      </c>
      <c r="K25" s="2" t="s">
        <v>22</v>
      </c>
      <c r="L25" s="2" t="s">
        <v>23</v>
      </c>
      <c r="M25" s="2" t="s">
        <v>24</v>
      </c>
    </row>
    <row r="26" spans="1:13">
      <c r="A26" s="2" t="s">
        <v>78</v>
      </c>
      <c r="B26" s="2" t="s">
        <v>68</v>
      </c>
      <c r="C26" s="2" t="s">
        <v>79</v>
      </c>
      <c r="D26" s="2" t="s">
        <v>29</v>
      </c>
      <c r="E26" s="2" t="s">
        <v>17</v>
      </c>
      <c r="F26" s="2" t="s">
        <v>18</v>
      </c>
      <c r="G26" s="2" t="s">
        <v>19</v>
      </c>
      <c r="H26" s="2">
        <v>0</v>
      </c>
      <c r="I26" s="2" t="s">
        <v>20</v>
      </c>
      <c r="J26" s="2" t="s">
        <v>21</v>
      </c>
      <c r="K26" s="2" t="s">
        <v>22</v>
      </c>
      <c r="L26" s="2" t="s">
        <v>23</v>
      </c>
      <c r="M26" s="2" t="s">
        <v>24</v>
      </c>
    </row>
    <row r="27" spans="1:13">
      <c r="A27" s="2" t="s">
        <v>80</v>
      </c>
      <c r="B27" s="2" t="s">
        <v>68</v>
      </c>
      <c r="C27" s="2" t="s">
        <v>81</v>
      </c>
      <c r="D27" s="2" t="s">
        <v>38</v>
      </c>
      <c r="E27" s="2" t="s">
        <v>17</v>
      </c>
      <c r="F27" s="2" t="s">
        <v>18</v>
      </c>
      <c r="G27" s="2" t="s">
        <v>19</v>
      </c>
      <c r="H27" s="2">
        <v>0</v>
      </c>
      <c r="I27" s="2" t="s">
        <v>20</v>
      </c>
      <c r="J27" s="2" t="s">
        <v>21</v>
      </c>
      <c r="K27" s="2" t="s">
        <v>22</v>
      </c>
      <c r="L27" s="2" t="s">
        <v>23</v>
      </c>
      <c r="M27" s="2" t="s">
        <v>24</v>
      </c>
    </row>
    <row r="28" spans="1:13">
      <c r="A28" s="2" t="s">
        <v>82</v>
      </c>
      <c r="B28" s="2" t="s">
        <v>83</v>
      </c>
      <c r="C28" s="2" t="s">
        <v>84</v>
      </c>
      <c r="D28" s="2" t="s">
        <v>16</v>
      </c>
      <c r="E28" s="2" t="s">
        <v>17</v>
      </c>
      <c r="F28" s="2" t="s">
        <v>18</v>
      </c>
      <c r="G28" s="2" t="s">
        <v>19</v>
      </c>
      <c r="H28" s="2">
        <v>0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24</v>
      </c>
    </row>
    <row r="29" spans="1:13">
      <c r="A29" s="2" t="s">
        <v>85</v>
      </c>
      <c r="B29" s="2" t="s">
        <v>83</v>
      </c>
      <c r="C29" s="2" t="s">
        <v>86</v>
      </c>
      <c r="D29" s="2" t="s">
        <v>29</v>
      </c>
      <c r="E29" s="2" t="s">
        <v>17</v>
      </c>
      <c r="F29" s="2" t="s">
        <v>18</v>
      </c>
      <c r="G29" s="2" t="s">
        <v>19</v>
      </c>
      <c r="H29" s="2">
        <v>0</v>
      </c>
      <c r="I29" s="2" t="s">
        <v>20</v>
      </c>
      <c r="J29" s="2" t="s">
        <v>21</v>
      </c>
      <c r="K29" s="2" t="s">
        <v>22</v>
      </c>
      <c r="L29" s="2" t="s">
        <v>23</v>
      </c>
      <c r="M29" s="2" t="s">
        <v>24</v>
      </c>
    </row>
    <row r="30" spans="1:13">
      <c r="A30" s="2" t="s">
        <v>87</v>
      </c>
      <c r="B30" s="2" t="s">
        <v>83</v>
      </c>
      <c r="C30" s="2" t="s">
        <v>88</v>
      </c>
      <c r="D30" s="2" t="s">
        <v>32</v>
      </c>
      <c r="E30" s="2" t="s">
        <v>17</v>
      </c>
      <c r="F30" s="2" t="s">
        <v>18</v>
      </c>
      <c r="G30" s="2" t="s">
        <v>19</v>
      </c>
      <c r="H30" s="2">
        <v>0</v>
      </c>
      <c r="I30" s="2" t="s">
        <v>20</v>
      </c>
      <c r="J30" s="2" t="s">
        <v>21</v>
      </c>
      <c r="K30" s="2" t="s">
        <v>22</v>
      </c>
      <c r="L30" s="2" t="s">
        <v>23</v>
      </c>
      <c r="M30" s="2" t="s">
        <v>24</v>
      </c>
    </row>
    <row r="31" spans="1:13">
      <c r="A31" s="2" t="s">
        <v>89</v>
      </c>
      <c r="B31" s="2" t="s">
        <v>83</v>
      </c>
      <c r="C31" s="2" t="s">
        <v>90</v>
      </c>
      <c r="D31" s="2" t="s">
        <v>35</v>
      </c>
      <c r="E31" s="2" t="s">
        <v>17</v>
      </c>
      <c r="F31" s="2" t="s">
        <v>18</v>
      </c>
      <c r="G31" s="2" t="s">
        <v>19</v>
      </c>
      <c r="H31" s="2">
        <v>0</v>
      </c>
      <c r="I31" s="2" t="s">
        <v>20</v>
      </c>
      <c r="J31" s="2" t="s">
        <v>21</v>
      </c>
      <c r="K31" s="2" t="s">
        <v>22</v>
      </c>
      <c r="L31" s="2" t="s">
        <v>23</v>
      </c>
      <c r="M31" s="2" t="s">
        <v>24</v>
      </c>
    </row>
    <row r="32" spans="1:13">
      <c r="A32" s="2" t="s">
        <v>91</v>
      </c>
      <c r="B32" s="2" t="s">
        <v>83</v>
      </c>
      <c r="C32" s="2" t="s">
        <v>92</v>
      </c>
      <c r="D32" s="2" t="s">
        <v>29</v>
      </c>
      <c r="E32" s="2" t="s">
        <v>17</v>
      </c>
      <c r="F32" s="2" t="s">
        <v>18</v>
      </c>
      <c r="G32" s="2" t="s">
        <v>19</v>
      </c>
      <c r="H32" s="2">
        <v>0</v>
      </c>
      <c r="I32" s="2" t="s">
        <v>20</v>
      </c>
      <c r="J32" s="2" t="s">
        <v>21</v>
      </c>
      <c r="K32" s="2" t="s">
        <v>22</v>
      </c>
      <c r="L32" s="2" t="s">
        <v>23</v>
      </c>
      <c r="M32" s="2" t="s">
        <v>24</v>
      </c>
    </row>
    <row r="33" spans="1:13">
      <c r="A33" s="2" t="s">
        <v>93</v>
      </c>
      <c r="B33" s="2" t="s">
        <v>83</v>
      </c>
      <c r="C33" s="2" t="s">
        <v>94</v>
      </c>
      <c r="D33" s="2" t="s">
        <v>38</v>
      </c>
      <c r="E33" s="2" t="s">
        <v>17</v>
      </c>
      <c r="F33" s="2" t="s">
        <v>18</v>
      </c>
      <c r="G33" s="2" t="s">
        <v>19</v>
      </c>
      <c r="H33" s="2">
        <v>0</v>
      </c>
      <c r="I33" s="2" t="s">
        <v>20</v>
      </c>
      <c r="J33" s="2" t="s">
        <v>21</v>
      </c>
      <c r="K33" s="2" t="s">
        <v>22</v>
      </c>
      <c r="L33" s="2" t="s">
        <v>23</v>
      </c>
      <c r="M33" s="2" t="s">
        <v>24</v>
      </c>
    </row>
    <row r="34" spans="1:13">
      <c r="A34" s="2" t="s">
        <v>95</v>
      </c>
      <c r="B34" s="2" t="s">
        <v>96</v>
      </c>
      <c r="C34" s="2" t="s">
        <v>97</v>
      </c>
      <c r="D34" s="2" t="s">
        <v>16</v>
      </c>
      <c r="E34" s="2" t="s">
        <v>17</v>
      </c>
      <c r="F34" s="2" t="s">
        <v>18</v>
      </c>
      <c r="G34" s="2" t="s">
        <v>19</v>
      </c>
      <c r="H34" s="2">
        <v>0</v>
      </c>
      <c r="I34" s="2" t="s">
        <v>20</v>
      </c>
      <c r="J34" s="2" t="s">
        <v>21</v>
      </c>
      <c r="K34" s="2" t="s">
        <v>22</v>
      </c>
      <c r="L34" s="2" t="s">
        <v>23</v>
      </c>
      <c r="M34" s="2" t="s">
        <v>24</v>
      </c>
    </row>
    <row r="35" spans="1:13">
      <c r="A35" s="2" t="s">
        <v>98</v>
      </c>
      <c r="B35" s="2" t="s">
        <v>96</v>
      </c>
      <c r="C35" s="2" t="s">
        <v>99</v>
      </c>
      <c r="D35" s="2" t="s">
        <v>29</v>
      </c>
      <c r="E35" s="2" t="s">
        <v>17</v>
      </c>
      <c r="F35" s="2" t="s">
        <v>18</v>
      </c>
      <c r="G35" s="2" t="s">
        <v>19</v>
      </c>
      <c r="H35" s="2">
        <v>0</v>
      </c>
      <c r="I35" s="2" t="s">
        <v>20</v>
      </c>
      <c r="J35" s="2" t="s">
        <v>21</v>
      </c>
      <c r="K35" s="2" t="s">
        <v>22</v>
      </c>
      <c r="L35" s="2" t="s">
        <v>23</v>
      </c>
      <c r="M35" s="2" t="s">
        <v>24</v>
      </c>
    </row>
    <row r="36" spans="1:13">
      <c r="A36" s="2" t="s">
        <v>100</v>
      </c>
      <c r="B36" s="2" t="s">
        <v>96</v>
      </c>
      <c r="C36" s="2" t="s">
        <v>101</v>
      </c>
      <c r="D36" s="2" t="s">
        <v>32</v>
      </c>
      <c r="E36" s="2" t="s">
        <v>17</v>
      </c>
      <c r="F36" s="2" t="s">
        <v>18</v>
      </c>
      <c r="G36" s="2" t="s">
        <v>19</v>
      </c>
      <c r="H36" s="2">
        <v>0</v>
      </c>
      <c r="I36" s="2" t="s">
        <v>20</v>
      </c>
      <c r="J36" s="2" t="s">
        <v>21</v>
      </c>
      <c r="K36" s="2" t="s">
        <v>22</v>
      </c>
      <c r="L36" s="2" t="s">
        <v>23</v>
      </c>
      <c r="M36" s="2" t="s">
        <v>24</v>
      </c>
    </row>
    <row r="37" spans="1:13">
      <c r="A37" s="2" t="s">
        <v>102</v>
      </c>
      <c r="B37" s="2" t="s">
        <v>96</v>
      </c>
      <c r="C37" s="2" t="s">
        <v>103</v>
      </c>
      <c r="D37" s="2" t="s">
        <v>35</v>
      </c>
      <c r="E37" s="2" t="s">
        <v>17</v>
      </c>
      <c r="F37" s="2" t="s">
        <v>18</v>
      </c>
      <c r="G37" s="2" t="s">
        <v>19</v>
      </c>
      <c r="H37" s="2">
        <v>0</v>
      </c>
      <c r="I37" s="2" t="s">
        <v>20</v>
      </c>
      <c r="J37" s="2" t="s">
        <v>21</v>
      </c>
      <c r="K37" s="2" t="s">
        <v>22</v>
      </c>
      <c r="L37" s="2" t="s">
        <v>23</v>
      </c>
      <c r="M37" s="2" t="s">
        <v>24</v>
      </c>
    </row>
    <row r="38" spans="1:13">
      <c r="A38" s="2" t="s">
        <v>104</v>
      </c>
      <c r="B38" s="2" t="s">
        <v>96</v>
      </c>
      <c r="C38" s="2" t="s">
        <v>105</v>
      </c>
      <c r="D38" s="2" t="s">
        <v>29</v>
      </c>
      <c r="E38" s="2" t="s">
        <v>17</v>
      </c>
      <c r="F38" s="2" t="s">
        <v>18</v>
      </c>
      <c r="G38" s="2" t="s">
        <v>19</v>
      </c>
      <c r="H38" s="2">
        <v>0</v>
      </c>
      <c r="I38" s="2" t="s">
        <v>20</v>
      </c>
      <c r="J38" s="2" t="s">
        <v>21</v>
      </c>
      <c r="K38" s="2" t="s">
        <v>22</v>
      </c>
      <c r="L38" s="2" t="s">
        <v>23</v>
      </c>
      <c r="M38" s="2" t="s">
        <v>24</v>
      </c>
    </row>
    <row r="39" spans="1:13">
      <c r="A39" s="2" t="s">
        <v>106</v>
      </c>
      <c r="B39" s="2" t="s">
        <v>96</v>
      </c>
      <c r="C39" s="2" t="s">
        <v>107</v>
      </c>
      <c r="D39" s="2" t="s">
        <v>38</v>
      </c>
      <c r="E39" s="2" t="s">
        <v>17</v>
      </c>
      <c r="F39" s="2" t="s">
        <v>18</v>
      </c>
      <c r="G39" s="2" t="s">
        <v>19</v>
      </c>
      <c r="H39" s="2">
        <v>0</v>
      </c>
      <c r="I39" s="2" t="s">
        <v>20</v>
      </c>
      <c r="J39" s="2" t="s">
        <v>21</v>
      </c>
      <c r="K39" s="2" t="s">
        <v>22</v>
      </c>
      <c r="L39" s="2" t="s">
        <v>23</v>
      </c>
      <c r="M39" s="2" t="s">
        <v>24</v>
      </c>
    </row>
    <row r="40" spans="1:13">
      <c r="A40" s="2" t="s">
        <v>108</v>
      </c>
      <c r="B40" s="2" t="s">
        <v>96</v>
      </c>
      <c r="C40" s="2" t="s">
        <v>109</v>
      </c>
      <c r="D40" s="2" t="s">
        <v>32</v>
      </c>
      <c r="E40" s="2" t="s">
        <v>17</v>
      </c>
      <c r="F40" s="2" t="s">
        <v>18</v>
      </c>
      <c r="G40" s="2" t="s">
        <v>19</v>
      </c>
      <c r="H40" s="2">
        <v>0</v>
      </c>
      <c r="I40" s="2" t="s">
        <v>20</v>
      </c>
      <c r="J40" s="2" t="s">
        <v>21</v>
      </c>
      <c r="K40" s="2" t="s">
        <v>22</v>
      </c>
      <c r="L40" s="2" t="s">
        <v>23</v>
      </c>
      <c r="M40" s="2" t="s">
        <v>24</v>
      </c>
    </row>
    <row r="41" spans="1:13">
      <c r="A41" s="2" t="s">
        <v>110</v>
      </c>
      <c r="B41" s="2" t="s">
        <v>96</v>
      </c>
      <c r="C41" s="2" t="s">
        <v>111</v>
      </c>
      <c r="D41" s="2" t="s">
        <v>16</v>
      </c>
      <c r="E41" s="2" t="s">
        <v>17</v>
      </c>
      <c r="F41" s="2" t="s">
        <v>18</v>
      </c>
      <c r="G41" s="2" t="s">
        <v>19</v>
      </c>
      <c r="H41" s="2">
        <v>0</v>
      </c>
      <c r="I41" s="2" t="s">
        <v>20</v>
      </c>
      <c r="J41" s="2" t="s">
        <v>21</v>
      </c>
      <c r="K41" s="2" t="s">
        <v>22</v>
      </c>
      <c r="L41" s="2" t="s">
        <v>23</v>
      </c>
      <c r="M41" s="2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rightToLeft="1" workbookViewId="0"/>
  </sheetViews>
  <sheetFormatPr defaultRowHeight="15"/>
  <cols>
    <col min="1" max="1" width="48" customWidth="1"/>
    <col min="2" max="2" width="16" customWidth="1"/>
    <col min="3" max="3" width="18" customWidth="1"/>
  </cols>
  <sheetData>
    <row r="1" spans="1:3">
      <c r="A1" s="3" t="s">
        <v>112</v>
      </c>
    </row>
    <row r="3" spans="1:3">
      <c r="A3" s="4" t="s">
        <v>1</v>
      </c>
      <c r="B3" s="4" t="s">
        <v>113</v>
      </c>
      <c r="C3" s="4" t="s">
        <v>114</v>
      </c>
    </row>
    <row r="4" spans="1:3">
      <c r="A4" t="s">
        <v>14</v>
      </c>
      <c r="B4" t="str">
        <f>COUNTIF('Master Tracker'!B:B,"I7.1*")</f>
        <v/>
      </c>
      <c r="C4" s="5" t="str">
        <f>IFERROR(AVERAGEIF('Master Tracker'!B:B,"I7.1*",'Master Tracker'!H:H),0)</f>
        <v/>
      </c>
    </row>
    <row r="5" spans="1:3">
      <c r="A5" t="s">
        <v>40</v>
      </c>
      <c r="B5" t="str">
        <f>COUNTIF('Master Tracker'!B:B,"I7.2*")</f>
        <v/>
      </c>
      <c r="C5" s="5" t="str">
        <f>IFERROR(AVERAGEIF('Master Tracker'!B:B,"I7.2*",'Master Tracker'!H:H),0)</f>
        <v/>
      </c>
    </row>
    <row r="6" spans="1:3">
      <c r="A6" t="s">
        <v>57</v>
      </c>
      <c r="B6" t="str">
        <f>COUNTIF('Master Tracker'!B:B,"I7.3*")</f>
        <v/>
      </c>
      <c r="C6" s="5" t="str">
        <f>IFERROR(AVERAGEIF('Master Tracker'!B:B,"I7.3*",'Master Tracker'!H:H),0)</f>
        <v/>
      </c>
    </row>
    <row r="7" spans="1:3">
      <c r="A7" t="s">
        <v>68</v>
      </c>
      <c r="B7" t="str">
        <f>COUNTIF('Master Tracker'!B:B,"I7.4*")</f>
        <v/>
      </c>
      <c r="C7" s="5" t="str">
        <f>IFERROR(AVERAGEIF('Master Tracker'!B:B,"I7.4*",'Master Tracker'!H:H),0)</f>
        <v/>
      </c>
    </row>
    <row r="8" spans="1:3">
      <c r="A8" t="s">
        <v>83</v>
      </c>
      <c r="B8" t="str">
        <f>COUNTIF('Master Tracker'!B:B,"I7.5*")</f>
        <v/>
      </c>
      <c r="C8" s="5" t="str">
        <f>IFERROR(AVERAGEIF('Master Tracker'!B:B,"I7.5*",'Master Tracker'!H:H),0)</f>
        <v/>
      </c>
    </row>
    <row r="9" spans="1:3">
      <c r="A9" t="s">
        <v>96</v>
      </c>
      <c r="B9" t="str">
        <f>COUNTIF('Master Tracker'!B:B,"I7.6*")</f>
        <v/>
      </c>
      <c r="C9" s="5" t="str">
        <f>IFERROR(AVERAGEIF('Master Tracker'!B:B,"I7.6*",'Master Tracker'!H:H),0)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rightToLeft="1" workbookViewId="0">
      <pane ySplit="1" topLeftCell="A2" activePane="bottomLeft" state="frozen"/>
      <selection pane="bottomLeft"/>
    </sheetView>
  </sheetViews>
  <sheetFormatPr defaultRowHeight="15"/>
  <sheetData>
    <row r="1" spans="1:7">
      <c r="A1" s="4" t="s">
        <v>115</v>
      </c>
      <c r="B1" s="4" t="s">
        <v>116</v>
      </c>
      <c r="C1" s="4" t="s">
        <v>117</v>
      </c>
      <c r="D1" s="4" t="s">
        <v>6</v>
      </c>
      <c r="E1" s="4" t="s">
        <v>118</v>
      </c>
      <c r="F1" s="4" t="s">
        <v>4</v>
      </c>
      <c r="G1" s="4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rightToLeft="1" workbookViewId="0">
      <pane ySplit="1" topLeftCell="A2" activePane="bottomLeft" state="frozen"/>
      <selection pane="bottomLeft"/>
    </sheetView>
  </sheetViews>
  <sheetFormatPr defaultRowHeight="15"/>
  <sheetData>
    <row r="1" spans="1:8">
      <c r="A1" s="4" t="s">
        <v>115</v>
      </c>
      <c r="B1" s="4" t="s">
        <v>116</v>
      </c>
      <c r="C1" s="4" t="s">
        <v>120</v>
      </c>
      <c r="D1" s="4" t="s">
        <v>121</v>
      </c>
      <c r="E1" s="4" t="s">
        <v>122</v>
      </c>
      <c r="F1" s="4" t="s">
        <v>3</v>
      </c>
      <c r="G1" s="4" t="s">
        <v>9</v>
      </c>
      <c r="H1" s="4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rightToLeft="1" workbookViewId="0">
      <pane ySplit="1" topLeftCell="A2" activePane="bottomLeft" state="frozen"/>
      <selection pane="bottomLeft"/>
    </sheetView>
  </sheetViews>
  <sheetFormatPr defaultRowHeight="15"/>
  <sheetData>
    <row r="1" spans="1:6">
      <c r="A1" s="4" t="s">
        <v>123</v>
      </c>
      <c r="B1" s="4" t="s">
        <v>124</v>
      </c>
      <c r="C1" s="4" t="s">
        <v>125</v>
      </c>
      <c r="D1" s="4" t="s">
        <v>3</v>
      </c>
      <c r="E1" s="4" t="s">
        <v>9</v>
      </c>
      <c r="F1" s="4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rightToLeft="1" workbookViewId="0">
      <pane ySplit="1" topLeftCell="A2" activePane="bottomLeft" state="frozen"/>
      <selection pane="bottomLeft"/>
    </sheetView>
  </sheetViews>
  <sheetFormatPr defaultRowHeight="15"/>
  <sheetData>
    <row r="1" spans="1:4">
      <c r="A1" s="4" t="s">
        <v>115</v>
      </c>
      <c r="B1" s="4" t="s">
        <v>126</v>
      </c>
      <c r="C1" s="4" t="s">
        <v>127</v>
      </c>
      <c r="D1" s="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Gehad Taher</cp:lastModifiedBy>
  <cp:revision/>
  <dcterms:created xsi:type="dcterms:W3CDTF">2026-10-19T05:21:28Z</dcterms:created>
  <dcterms:modified xsi:type="dcterms:W3CDTF">2026-10-19T05:33:53Z</dcterms:modified>
  <cp:category/>
  <cp:contentStatus/>
</cp:coreProperties>
</file>